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efba482bc3fa2a/Desktop/Diplomatiki/Metrics_Simulations/Graphs/"/>
    </mc:Choice>
  </mc:AlternateContent>
  <xr:revisionPtr revIDLastSave="1" documentId="11_5F12E35604C30BA2FEBC11727CE7D889E46B7D8F" xr6:coauthVersionLast="47" xr6:coauthVersionMax="47" xr10:uidLastSave="{9CE10F48-616E-44F7-B0C4-4DB55E8B037E}"/>
  <bookViews>
    <workbookView xWindow="4332" yWindow="1872" windowWidth="17280" windowHeight="9960" xr2:uid="{00000000-000D-0000-FFFF-FFFF00000000}"/>
  </bookViews>
  <sheets>
    <sheet name="Κέρδος" sheetId="1" r:id="rId1"/>
    <sheet name="Προσανατολισμός" sheetId="2" r:id="rId2"/>
    <sheet name="Κέρδος δεδομένα" sheetId="3" r:id="rId3"/>
    <sheet name="Προσανατολισμός δεδομένα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<sst xmlns="http://schemas.openxmlformats.org/spreadsheetml/2006/main" count="569" uniqueCount="275">
  <si>
    <t>Κέρδος κεραίας gNB</t>
  </si>
  <si>
    <t>25 επιτυχείς μετρήσεις. Seed 42, runs 1–5. Μέσος όρος και δειγματική τυπική απόκλιση (SD).</t>
  </si>
  <si>
    <t>gNB gain (dBi)</t>
  </si>
  <si>
    <t>n</t>
  </si>
  <si>
    <t>IP throughput (Mbps)</t>
  </si>
  <si>
    <t>SD (Mbps)</t>
  </si>
  <si>
    <t>Goodput (Mbps)</t>
  </si>
  <si>
    <t>Delay (ms)</t>
  </si>
  <si>
    <t>SD (ms)</t>
  </si>
  <si>
    <t>Loss after drain (%)</t>
  </si>
  <si>
    <t>SD (ποσ. μον.)</t>
  </si>
  <si>
    <t>Jitter (ms)</t>
  </si>
  <si>
    <t>Γραφήματα: μέσος όρος ±1 SD (όχι διάστημα εμπιστοσύνης). Μηδενική SD: η μπάρα δεν διακρίνεται.</t>
  </si>
  <si>
    <t>Cosine: orientation 0°, horizontal beamwidth 120°, vertical 360°. Scalar gain UL/DL, χωρίς beamforming.</t>
  </si>
  <si>
    <t>1 UE, 1 gNB, UDP uplink, Friis, χωρίς fading/shadowing. Απόσταση 100 m, UE Tx 10 dBm.</t>
  </si>
  <si>
    <t>Bandwidth 100 MHz, load 200 Mbps, numerology 2, TDD DL|UL|UL|UL|, payload 1400 bytes, RLC UM 1048576 bytes.</t>
  </si>
  <si>
    <t>Application 1–11 s, drain 2 s. Throughput / goodput = παραληφθέντα bytes ×8 /10 s.</t>
  </si>
  <si>
    <t>Το IP throughput περιλαμβάνει headers. Το goodput αφορά payload. Delay/jitter: μόνο παραληφθέντα πακέτα.</t>
  </si>
  <si>
    <t>Απώλειες μετά το drain: ενδέχεται να περιλαμβάνουν πακέτα σε ουρά. Δεν έγινε πρόσθετος έλεγχος μεγαλύτερου drain.</t>
  </si>
  <si>
    <t>Οι σταθερές ρυθμίσεις ελέγχθηκαν εντός κάθε μελέτης. Οι διαφορετικές μελέτες παραμένουν χωριστές.</t>
  </si>
  <si>
    <t>Συχνότητα 3.5 GHz.</t>
  </si>
  <si>
    <t>Η μελέτη beamwidth δεν έχει ακόμη εκτελεστεί.</t>
  </si>
  <si>
    <t>Προσανατολισμός κεραίας gNB</t>
  </si>
  <si>
    <t>Orientation (degrees)</t>
  </si>
  <si>
    <t>Cosine: max gain 0 dBi, horizontal beamwidth 120°, vertical 360°. Η αιτία της μη μονοτονικής απόδοσης εκκρεμεί.</t>
  </si>
  <si>
    <t>status</t>
  </si>
  <si>
    <t>experiment_index</t>
  </si>
  <si>
    <t>experiment_id</t>
  </si>
  <si>
    <t>n8n_execution_id</t>
  </si>
  <si>
    <t>data_source</t>
  </si>
  <si>
    <t>config_path</t>
  </si>
  <si>
    <t>results_path</t>
  </si>
  <si>
    <t>experiment_dir</t>
  </si>
  <si>
    <t>gnb_antenna_model</t>
  </si>
  <si>
    <t>gnb_antenna_max_gain_dbi</t>
  </si>
  <si>
    <t>gnb_antenna_orientation_deg</t>
  </si>
  <si>
    <t>gnb_antenna_horizontal_beamwidth_deg</t>
  </si>
  <si>
    <t>gnb_antenna_vertical_beamwidth_deg</t>
  </si>
  <si>
    <t>gnb_antenna_effective_gain_toward_ue_db</t>
  </si>
  <si>
    <t>carrier_frequency_hz</t>
  </si>
  <si>
    <t>ue_distance_2d_m</t>
  </si>
  <si>
    <t>ue_distance_3d_m</t>
  </si>
  <si>
    <t>ue_tx_power_dbm</t>
  </si>
  <si>
    <t>offered_load_mbps</t>
  </si>
  <si>
    <t>bandwidth_hz</t>
  </si>
  <si>
    <t>numerology</t>
  </si>
  <si>
    <t>tdd_pattern</t>
  </si>
  <si>
    <t>packet_size_bytes</t>
  </si>
  <si>
    <t>rlc_buffer_size_bytes</t>
  </si>
  <si>
    <t>rng_seed</t>
  </si>
  <si>
    <t>rng_run</t>
  </si>
  <si>
    <t>throughput_mbps</t>
  </si>
  <si>
    <t>app_goodput_mbps</t>
  </si>
  <si>
    <t>end_to_end_delay_ms</t>
  </si>
  <si>
    <t>jitter_ms</t>
  </si>
  <si>
    <t>loss_fraction</t>
  </si>
  <si>
    <t>tx_packets</t>
  </si>
  <si>
    <t>rx_packets</t>
  </si>
  <si>
    <t>ip_rx_bytes</t>
  </si>
  <si>
    <t>unreceived_packets_after_drain</t>
  </si>
  <si>
    <t>source_csv</t>
  </si>
  <si>
    <t>success</t>
  </si>
  <si>
    <t>gnb_gain_0dbi_run_1</t>
  </si>
  <si>
    <t>ns3</t>
  </si>
  <si>
    <t>experiments/execution_146/experiment_1/config.json</t>
  </si>
  <si>
    <t>experiments/execution_146/experiment_1/results.json</t>
  </si>
  <si>
    <t>/home/dinos/ns-allinone-3.47/ns-3.47/experiments/execution_146/experiment_1</t>
  </si>
  <si>
    <t>Cosine</t>
  </si>
  <si>
    <t>DL|UL|UL|UL|</t>
  </si>
  <si>
    <t>experiments/execution_146/batch_dataset.csv</t>
  </si>
  <si>
    <t>gnb_gain_0dbi_run_2</t>
  </si>
  <si>
    <t>experiments/execution_147/experiment_1/config.json</t>
  </si>
  <si>
    <t>experiments/execution_147/experiment_1/results.json</t>
  </si>
  <si>
    <t>/home/dinos/ns-allinone-3.47/ns-3.47/experiments/execution_147/experiment_1</t>
  </si>
  <si>
    <t>experiments/execution_147/batch_dataset.csv</t>
  </si>
  <si>
    <t>gnb_gain_0dbi_run_3</t>
  </si>
  <si>
    <t>experiments/execution_148/experiment_1/config.json</t>
  </si>
  <si>
    <t>experiments/execution_148/experiment_1/results.json</t>
  </si>
  <si>
    <t>/home/dinos/ns-allinone-3.47/ns-3.47/experiments/execution_148/experiment_1</t>
  </si>
  <si>
    <t>experiments/execution_148/batch_dataset.csv</t>
  </si>
  <si>
    <t>gnb_gain_0dbi_run_4</t>
  </si>
  <si>
    <t>experiments/execution_149/experiment_1/config.json</t>
  </si>
  <si>
    <t>experiments/execution_149/experiment_1/results.json</t>
  </si>
  <si>
    <t>/home/dinos/ns-allinone-3.47/ns-3.47/experiments/execution_149/experiment_1</t>
  </si>
  <si>
    <t>experiments/execution_149/batch_dataset.csv</t>
  </si>
  <si>
    <t>gnb_gain_0dbi_run_5</t>
  </si>
  <si>
    <t>experiments/execution_150/experiment_1/config.json</t>
  </si>
  <si>
    <t>experiments/execution_150/experiment_1/results.json</t>
  </si>
  <si>
    <t>/home/dinos/ns-allinone-3.47/ns-3.47/experiments/execution_150/experiment_1</t>
  </si>
  <si>
    <t>experiments/execution_150/batch_dataset.csv</t>
  </si>
  <si>
    <t>gnb_gain_3dbi_run_1</t>
  </si>
  <si>
    <t>experiments/execution_146/experiment_2/config.json</t>
  </si>
  <si>
    <t>experiments/execution_146/experiment_2/results.json</t>
  </si>
  <si>
    <t>/home/dinos/ns-allinone-3.47/ns-3.47/experiments/execution_146/experiment_2</t>
  </si>
  <si>
    <t>gnb_gain_3dbi_run_2</t>
  </si>
  <si>
    <t>experiments/execution_147/experiment_2/config.json</t>
  </si>
  <si>
    <t>experiments/execution_147/experiment_2/results.json</t>
  </si>
  <si>
    <t>/home/dinos/ns-allinone-3.47/ns-3.47/experiments/execution_147/experiment_2</t>
  </si>
  <si>
    <t>gnb_gain_3dbi_run_3</t>
  </si>
  <si>
    <t>experiments/execution_148/experiment_2/config.json</t>
  </si>
  <si>
    <t>experiments/execution_148/experiment_2/results.json</t>
  </si>
  <si>
    <t>/home/dinos/ns-allinone-3.47/ns-3.47/experiments/execution_148/experiment_2</t>
  </si>
  <si>
    <t>gnb_gain_3dbi_run_4</t>
  </si>
  <si>
    <t>experiments/execution_149/experiment_2/config.json</t>
  </si>
  <si>
    <t>experiments/execution_149/experiment_2/results.json</t>
  </si>
  <si>
    <t>/home/dinos/ns-allinone-3.47/ns-3.47/experiments/execution_149/experiment_2</t>
  </si>
  <si>
    <t>gnb_gain_3dbi_run_5</t>
  </si>
  <si>
    <t>experiments/execution_150/experiment_2/config.json</t>
  </si>
  <si>
    <t>experiments/execution_150/experiment_2/results.json</t>
  </si>
  <si>
    <t>/home/dinos/ns-allinone-3.47/ns-3.47/experiments/execution_150/experiment_2</t>
  </si>
  <si>
    <t>gnb_gain_6dbi_run_1</t>
  </si>
  <si>
    <t>experiments/execution_146/experiment_3/config.json</t>
  </si>
  <si>
    <t>experiments/execution_146/experiment_3/results.json</t>
  </si>
  <si>
    <t>/home/dinos/ns-allinone-3.47/ns-3.47/experiments/execution_146/experiment_3</t>
  </si>
  <si>
    <t>gnb_gain_6dbi_run_2</t>
  </si>
  <si>
    <t>experiments/execution_147/experiment_3/config.json</t>
  </si>
  <si>
    <t>experiments/execution_147/experiment_3/results.json</t>
  </si>
  <si>
    <t>/home/dinos/ns-allinone-3.47/ns-3.47/experiments/execution_147/experiment_3</t>
  </si>
  <si>
    <t>gnb_gain_6dbi_run_3</t>
  </si>
  <si>
    <t>experiments/execution_148/experiment_3/config.json</t>
  </si>
  <si>
    <t>experiments/execution_148/experiment_3/results.json</t>
  </si>
  <si>
    <t>/home/dinos/ns-allinone-3.47/ns-3.47/experiments/execution_148/experiment_3</t>
  </si>
  <si>
    <t>gnb_gain_6dbi_run_4</t>
  </si>
  <si>
    <t>experiments/execution_149/experiment_3/config.json</t>
  </si>
  <si>
    <t>experiments/execution_149/experiment_3/results.json</t>
  </si>
  <si>
    <t>/home/dinos/ns-allinone-3.47/ns-3.47/experiments/execution_149/experiment_3</t>
  </si>
  <si>
    <t>gnb_gain_6dbi_run_5</t>
  </si>
  <si>
    <t>experiments/execution_150/experiment_3/config.json</t>
  </si>
  <si>
    <t>experiments/execution_150/experiment_3/results.json</t>
  </si>
  <si>
    <t>/home/dinos/ns-allinone-3.47/ns-3.47/experiments/execution_150/experiment_3</t>
  </si>
  <si>
    <t>gnb_gain_9dbi_run_1</t>
  </si>
  <si>
    <t>experiments/execution_146/experiment_4/config.json</t>
  </si>
  <si>
    <t>experiments/execution_146/experiment_4/results.json</t>
  </si>
  <si>
    <t>/home/dinos/ns-allinone-3.47/ns-3.47/experiments/execution_146/experiment_4</t>
  </si>
  <si>
    <t>gnb_gain_9dbi_run_2</t>
  </si>
  <si>
    <t>experiments/execution_147/experiment_4/config.json</t>
  </si>
  <si>
    <t>experiments/execution_147/experiment_4/results.json</t>
  </si>
  <si>
    <t>/home/dinos/ns-allinone-3.47/ns-3.47/experiments/execution_147/experiment_4</t>
  </si>
  <si>
    <t>gnb_gain_9dbi_run_3</t>
  </si>
  <si>
    <t>experiments/execution_148/experiment_4/config.json</t>
  </si>
  <si>
    <t>experiments/execution_148/experiment_4/results.json</t>
  </si>
  <si>
    <t>/home/dinos/ns-allinone-3.47/ns-3.47/experiments/execution_148/experiment_4</t>
  </si>
  <si>
    <t>gnb_gain_9dbi_run_4</t>
  </si>
  <si>
    <t>experiments/execution_149/experiment_4/config.json</t>
  </si>
  <si>
    <t>experiments/execution_149/experiment_4/results.json</t>
  </si>
  <si>
    <t>/home/dinos/ns-allinone-3.47/ns-3.47/experiments/execution_149/experiment_4</t>
  </si>
  <si>
    <t>gnb_gain_9dbi_run_5</t>
  </si>
  <si>
    <t>experiments/execution_150/experiment_4/config.json</t>
  </si>
  <si>
    <t>experiments/execution_150/experiment_4/results.json</t>
  </si>
  <si>
    <t>/home/dinos/ns-allinone-3.47/ns-3.47/experiments/execution_150/experiment_4</t>
  </si>
  <si>
    <t>gnb_gain_12dbi_run_1</t>
  </si>
  <si>
    <t>experiments/execution_146/experiment_5/config.json</t>
  </si>
  <si>
    <t>experiments/execution_146/experiment_5/results.json</t>
  </si>
  <si>
    <t>/home/dinos/ns-allinone-3.47/ns-3.47/experiments/execution_146/experiment_5</t>
  </si>
  <si>
    <t>gnb_gain_12dbi_run_2</t>
  </si>
  <si>
    <t>experiments/execution_147/experiment_5/config.json</t>
  </si>
  <si>
    <t>experiments/execution_147/experiment_5/results.json</t>
  </si>
  <si>
    <t>/home/dinos/ns-allinone-3.47/ns-3.47/experiments/execution_147/experiment_5</t>
  </si>
  <si>
    <t>gnb_gain_12dbi_run_3</t>
  </si>
  <si>
    <t>experiments/execution_148/experiment_5/config.json</t>
  </si>
  <si>
    <t>experiments/execution_148/experiment_5/results.json</t>
  </si>
  <si>
    <t>/home/dinos/ns-allinone-3.47/ns-3.47/experiments/execution_148/experiment_5</t>
  </si>
  <si>
    <t>gnb_gain_12dbi_run_4</t>
  </si>
  <si>
    <t>experiments/execution_149/experiment_5/config.json</t>
  </si>
  <si>
    <t>experiments/execution_149/experiment_5/results.json</t>
  </si>
  <si>
    <t>/home/dinos/ns-allinone-3.47/ns-3.47/experiments/execution_149/experiment_5</t>
  </si>
  <si>
    <t>gnb_gain_12dbi_run_5</t>
  </si>
  <si>
    <t>experiments/execution_150/experiment_5/config.json</t>
  </si>
  <si>
    <t>experiments/execution_150/experiment_5/results.json</t>
  </si>
  <si>
    <t>/home/dinos/ns-allinone-3.47/ns-3.47/experiments/execution_150/experiment_5</t>
  </si>
  <si>
    <t>gnb_orientation_0deg_run_1</t>
  </si>
  <si>
    <t>experiments/execution_162/experiment_1/config.json</t>
  </si>
  <si>
    <t>experiments/execution_162/experiment_1/results.json</t>
  </si>
  <si>
    <t>/home/dinos/ns-allinone-3.47/ns-3.47/experiments/execution_162/experiment_1</t>
  </si>
  <si>
    <t>experiments/execution_162/batch_dataset.csv</t>
  </si>
  <si>
    <t>gnb_orientation_0deg_run_2</t>
  </si>
  <si>
    <t>experiments/execution_163/experiment_1/config.json</t>
  </si>
  <si>
    <t>experiments/execution_163/experiment_1/results.json</t>
  </si>
  <si>
    <t>/home/dinos/ns-allinone-3.47/ns-3.47/experiments/execution_163/experiment_1</t>
  </si>
  <si>
    <t>experiments/execution_163/batch_dataset.csv</t>
  </si>
  <si>
    <t>gnb_orientation_0deg_run_3</t>
  </si>
  <si>
    <t>experiments/execution_164/experiment_1/config.json</t>
  </si>
  <si>
    <t>experiments/execution_164/experiment_1/results.json</t>
  </si>
  <si>
    <t>/home/dinos/ns-allinone-3.47/ns-3.47/experiments/execution_164/experiment_1</t>
  </si>
  <si>
    <t>experiments/execution_164/batch_dataset.csv</t>
  </si>
  <si>
    <t>gnb_orientation_0deg_run_4</t>
  </si>
  <si>
    <t>experiments/execution_165/experiment_1/config.json</t>
  </si>
  <si>
    <t>experiments/execution_165/experiment_1/results.json</t>
  </si>
  <si>
    <t>/home/dinos/ns-allinone-3.47/ns-3.47/experiments/execution_165/experiment_1</t>
  </si>
  <si>
    <t>experiments/execution_165/batch_dataset.csv</t>
  </si>
  <si>
    <t>gnb_orientation_0deg_run_5</t>
  </si>
  <si>
    <t>experiments/execution_166/experiment_1/config.json</t>
  </si>
  <si>
    <t>experiments/execution_166/experiment_1/results.json</t>
  </si>
  <si>
    <t>/home/dinos/ns-allinone-3.47/ns-3.47/experiments/execution_166/experiment_1</t>
  </si>
  <si>
    <t>experiments/execution_166/batch_dataset.csv</t>
  </si>
  <si>
    <t>gnb_orientation_30deg_run_1</t>
  </si>
  <si>
    <t>experiments/execution_162/experiment_2/config.json</t>
  </si>
  <si>
    <t>experiments/execution_162/experiment_2/results.json</t>
  </si>
  <si>
    <t>/home/dinos/ns-allinone-3.47/ns-3.47/experiments/execution_162/experiment_2</t>
  </si>
  <si>
    <t>gnb_orientation_30deg_run_2</t>
  </si>
  <si>
    <t>experiments/execution_163/experiment_2/config.json</t>
  </si>
  <si>
    <t>experiments/execution_163/experiment_2/results.json</t>
  </si>
  <si>
    <t>/home/dinos/ns-allinone-3.47/ns-3.47/experiments/execution_163/experiment_2</t>
  </si>
  <si>
    <t>gnb_orientation_30deg_run_3</t>
  </si>
  <si>
    <t>experiments/execution_164/experiment_2/config.json</t>
  </si>
  <si>
    <t>experiments/execution_164/experiment_2/results.json</t>
  </si>
  <si>
    <t>/home/dinos/ns-allinone-3.47/ns-3.47/experiments/execution_164/experiment_2</t>
  </si>
  <si>
    <t>gnb_orientation_30deg_run_4</t>
  </si>
  <si>
    <t>experiments/execution_165/experiment_2/config.json</t>
  </si>
  <si>
    <t>experiments/execution_165/experiment_2/results.json</t>
  </si>
  <si>
    <t>/home/dinos/ns-allinone-3.47/ns-3.47/experiments/execution_165/experiment_2</t>
  </si>
  <si>
    <t>gnb_orientation_30deg_run_5</t>
  </si>
  <si>
    <t>experiments/execution_166/experiment_2/config.json</t>
  </si>
  <si>
    <t>experiments/execution_166/experiment_2/results.json</t>
  </si>
  <si>
    <t>/home/dinos/ns-allinone-3.47/ns-3.47/experiments/execution_166/experiment_2</t>
  </si>
  <si>
    <t>gnb_orientation_60deg_run_1</t>
  </si>
  <si>
    <t>experiments/execution_162/experiment_3/config.json</t>
  </si>
  <si>
    <t>experiments/execution_162/experiment_3/results.json</t>
  </si>
  <si>
    <t>/home/dinos/ns-allinone-3.47/ns-3.47/experiments/execution_162/experiment_3</t>
  </si>
  <si>
    <t>gnb_orientation_60deg_run_2</t>
  </si>
  <si>
    <t>experiments/execution_163/experiment_3/config.json</t>
  </si>
  <si>
    <t>experiments/execution_163/experiment_3/results.json</t>
  </si>
  <si>
    <t>/home/dinos/ns-allinone-3.47/ns-3.47/experiments/execution_163/experiment_3</t>
  </si>
  <si>
    <t>gnb_orientation_60deg_run_3</t>
  </si>
  <si>
    <t>experiments/execution_164/experiment_3/config.json</t>
  </si>
  <si>
    <t>experiments/execution_164/experiment_3/results.json</t>
  </si>
  <si>
    <t>/home/dinos/ns-allinone-3.47/ns-3.47/experiments/execution_164/experiment_3</t>
  </si>
  <si>
    <t>gnb_orientation_60deg_run_4</t>
  </si>
  <si>
    <t>experiments/execution_165/experiment_3/config.json</t>
  </si>
  <si>
    <t>experiments/execution_165/experiment_3/results.json</t>
  </si>
  <si>
    <t>/home/dinos/ns-allinone-3.47/ns-3.47/experiments/execution_165/experiment_3</t>
  </si>
  <si>
    <t>gnb_orientation_60deg_run_5</t>
  </si>
  <si>
    <t>experiments/execution_166/experiment_3/config.json</t>
  </si>
  <si>
    <t>experiments/execution_166/experiment_3/results.json</t>
  </si>
  <si>
    <t>/home/dinos/ns-allinone-3.47/ns-3.47/experiments/execution_166/experiment_3</t>
  </si>
  <si>
    <t>gnb_orientation_90deg_run_1</t>
  </si>
  <si>
    <t>experiments/execution_162/experiment_4/config.json</t>
  </si>
  <si>
    <t>experiments/execution_162/experiment_4/results.json</t>
  </si>
  <si>
    <t>/home/dinos/ns-allinone-3.47/ns-3.47/experiments/execution_162/experiment_4</t>
  </si>
  <si>
    <t>gnb_orientation_90deg_run_2</t>
  </si>
  <si>
    <t>experiments/execution_163/experiment_4/config.json</t>
  </si>
  <si>
    <t>experiments/execution_163/experiment_4/results.json</t>
  </si>
  <si>
    <t>/home/dinos/ns-allinone-3.47/ns-3.47/experiments/execution_163/experiment_4</t>
  </si>
  <si>
    <t>gnb_orientation_90deg_run_3</t>
  </si>
  <si>
    <t>experiments/execution_164/experiment_4/config.json</t>
  </si>
  <si>
    <t>experiments/execution_164/experiment_4/results.json</t>
  </si>
  <si>
    <t>/home/dinos/ns-allinone-3.47/ns-3.47/experiments/execution_164/experiment_4</t>
  </si>
  <si>
    <t>gnb_orientation_90deg_run_4</t>
  </si>
  <si>
    <t>experiments/execution_165/experiment_4/config.json</t>
  </si>
  <si>
    <t>experiments/execution_165/experiment_4/results.json</t>
  </si>
  <si>
    <t>/home/dinos/ns-allinone-3.47/ns-3.47/experiments/execution_165/experiment_4</t>
  </si>
  <si>
    <t>gnb_orientation_90deg_run_5</t>
  </si>
  <si>
    <t>experiments/execution_166/experiment_4/config.json</t>
  </si>
  <si>
    <t>experiments/execution_166/experiment_4/results.json</t>
  </si>
  <si>
    <t>/home/dinos/ns-allinone-3.47/ns-3.47/experiments/execution_166/experiment_4</t>
  </si>
  <si>
    <t>gnb_orientation_120deg_run_1</t>
  </si>
  <si>
    <t>experiments/execution_162/experiment_5/config.json</t>
  </si>
  <si>
    <t>experiments/execution_162/experiment_5/results.json</t>
  </si>
  <si>
    <t>/home/dinos/ns-allinone-3.47/ns-3.47/experiments/execution_162/experiment_5</t>
  </si>
  <si>
    <t>gnb_orientation_120deg_run_2</t>
  </si>
  <si>
    <t>experiments/execution_163/experiment_5/config.json</t>
  </si>
  <si>
    <t>experiments/execution_163/experiment_5/results.json</t>
  </si>
  <si>
    <t>/home/dinos/ns-allinone-3.47/ns-3.47/experiments/execution_163/experiment_5</t>
  </si>
  <si>
    <t>gnb_orientation_120deg_run_3</t>
  </si>
  <si>
    <t>experiments/execution_164/experiment_5/config.json</t>
  </si>
  <si>
    <t>experiments/execution_164/experiment_5/results.json</t>
  </si>
  <si>
    <t>/home/dinos/ns-allinone-3.47/ns-3.47/experiments/execution_164/experiment_5</t>
  </si>
  <si>
    <t>gnb_orientation_120deg_run_4</t>
  </si>
  <si>
    <t>experiments/execution_165/experiment_5/config.json</t>
  </si>
  <si>
    <t>experiments/execution_165/experiment_5/results.json</t>
  </si>
  <si>
    <t>/home/dinos/ns-allinone-3.47/ns-3.47/experiments/execution_165/experiment_5</t>
  </si>
  <si>
    <t>gnb_orientation_120deg_run_5</t>
  </si>
  <si>
    <t>experiments/execution_166/experiment_5/config.json</t>
  </si>
  <si>
    <t>experiments/execution_166/experiment_5/results.json</t>
  </si>
  <si>
    <t>/home/dinos/ns-allinone-3.47/ns-3.47/experiments/execution_166/experiment_5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</si>
</sst>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###"/>
    <numFmt numFmtId="166" formatCode="0.000000"/>
  </numFmts>
  <fonts count="4">
    <font>
      <sz val="11"/>
      <name val="Carlito"/>
    </font>
    <font>
      <sz val="11"/>
      <color rgb="FF203047"/>
      <name val="Arial"/>
    </font>
    <font>
      <b/>
      <sz val="11"/>
      <color rgb="FFFFFFFF"/>
      <name val="Arial"/>
    </font>
    <font>
      <b/>
      <sz val="17"/>
      <color rgb="FF203047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Κέρδος!$D$7:$D$11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Κέρδος!$D$7:$D$11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Κέρδος!$A$7:$A$11</c:f>
              <c:numCache>
                <c:formatCode>0.###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Κέρδος!$C$7:$C$11</c:f>
              <c:numCache>
                <c:formatCode>0.000000</c:formatCode>
                <c:ptCount val="5"/>
                <c:pt idx="0">
                  <c:v>203.99951039999999</c:v>
                </c:pt>
                <c:pt idx="1">
                  <c:v>203.99951039999999</c:v>
                </c:pt>
                <c:pt idx="2">
                  <c:v>203.99951039999999</c:v>
                </c:pt>
                <c:pt idx="3">
                  <c:v>203.99951039999999</c:v>
                </c:pt>
                <c:pt idx="4">
                  <c:v>203.99951039999999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A3-4B9B-9868-5E47E0E9C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24.3994614400000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gNB gain (dBi)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Goodput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Κέρδος!$F$7:$F$11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Κέρδος!$F$7:$F$11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Κέρδος!$A$7:$A$11</c:f>
              <c:numCache>
                <c:formatCode>0.###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Κέρδος!$E$7:$E$11</c:f>
              <c:numCache>
                <c:formatCode>0.000000</c:formatCode>
                <c:ptCount val="5"/>
                <c:pt idx="0">
                  <c:v>199.99951999999999</c:v>
                </c:pt>
                <c:pt idx="1">
                  <c:v>199.99951999999999</c:v>
                </c:pt>
                <c:pt idx="2">
                  <c:v>199.99951999999999</c:v>
                </c:pt>
                <c:pt idx="3">
                  <c:v>199.99951999999999</c:v>
                </c:pt>
                <c:pt idx="4">
                  <c:v>199.99951999999999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25-4EC0-BD0B-C7D9C78D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19.999472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gNB gain (dBi)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Delay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Κέρδος!$H$7:$H$11</c:f>
                <c:numCache>
                  <c:formatCode>General</c:formatCode>
                  <c:ptCount val="5"/>
                  <c:pt idx="0">
                    <c:v>2.3606393389609751E-3</c:v>
                  </c:pt>
                  <c:pt idx="1">
                    <c:v>4.4437022421185881E-3</c:v>
                  </c:pt>
                  <c:pt idx="2">
                    <c:v>4.8753084730729793E-3</c:v>
                  </c:pt>
                  <c:pt idx="3">
                    <c:v>4.8753084730729793E-3</c:v>
                  </c:pt>
                  <c:pt idx="4">
                    <c:v>4.8753084730729793E-3</c:v>
                  </c:pt>
                </c:numCache>
              </c:numRef>
            </c:plus>
            <c:minus>
              <c:numRef>
                <c:f>Κέρδος!$H$7:$H$11</c:f>
                <c:numCache>
                  <c:formatCode>General</c:formatCode>
                  <c:ptCount val="5"/>
                  <c:pt idx="0">
                    <c:v>2.3606393389609751E-3</c:v>
                  </c:pt>
                  <c:pt idx="1">
                    <c:v>4.4437022421185881E-3</c:v>
                  </c:pt>
                  <c:pt idx="2">
                    <c:v>4.8753084730729793E-3</c:v>
                  </c:pt>
                  <c:pt idx="3">
                    <c:v>4.8753084730729793E-3</c:v>
                  </c:pt>
                  <c:pt idx="4">
                    <c:v>4.8753084730729793E-3</c:v>
                  </c:pt>
                </c:numCache>
              </c:numRef>
            </c:minus>
          </c:errBars>
          <c:xVal>
            <c:numRef>
              <c:f>Κέρδος!$A$7:$A$11</c:f>
              <c:numCache>
                <c:formatCode>0.###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Κέρδος!$G$7:$G$11</c:f>
              <c:numCache>
                <c:formatCode>0.000000</c:formatCode>
                <c:ptCount val="5"/>
                <c:pt idx="0">
                  <c:v>3.6447730369999993</c:v>
                </c:pt>
                <c:pt idx="1">
                  <c:v>3.6204984174000003</c:v>
                </c:pt>
                <c:pt idx="2">
                  <c:v>3.6404771293999998</c:v>
                </c:pt>
                <c:pt idx="3">
                  <c:v>3.6404771293999998</c:v>
                </c:pt>
                <c:pt idx="4">
                  <c:v>3.6404771293999998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8E-49CA-94DC-8283E4E0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3.6544279436916383"/>
          <c:min val="3.6087604478052038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gNB gain (dBi)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Κέρδος!$J$7:$J$11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Κέρδος!$J$7:$J$11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Κέρδος!$A$7:$A$11</c:f>
              <c:numCache>
                <c:formatCode>0.###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Κέρδος!$I$7:$I$11</c:f>
              <c:numCache>
                <c:formatCode>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B7-4A9E-BF94-A7918DFE9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gNB gain (dBi)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Jitter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Κέρδος!$L$7:$L$11</c:f>
                <c:numCache>
                  <c:formatCode>General</c:formatCode>
                  <c:ptCount val="5"/>
                  <c:pt idx="0">
                    <c:v>2.3436748616221196E-5</c:v>
                  </c:pt>
                  <c:pt idx="1">
                    <c:v>1.7489341319790683E-5</c:v>
                  </c:pt>
                  <c:pt idx="2">
                    <c:v>4.7368263602333346E-5</c:v>
                  </c:pt>
                  <c:pt idx="3">
                    <c:v>4.7368263602333346E-5</c:v>
                  </c:pt>
                  <c:pt idx="4">
                    <c:v>4.7368263602333346E-5</c:v>
                  </c:pt>
                </c:numCache>
              </c:numRef>
            </c:plus>
            <c:minus>
              <c:numRef>
                <c:f>Κέρδος!$L$7:$L$11</c:f>
                <c:numCache>
                  <c:formatCode>General</c:formatCode>
                  <c:ptCount val="5"/>
                  <c:pt idx="0">
                    <c:v>2.3436748616221196E-5</c:v>
                  </c:pt>
                  <c:pt idx="1">
                    <c:v>1.7489341319790683E-5</c:v>
                  </c:pt>
                  <c:pt idx="2">
                    <c:v>4.7368263602333346E-5</c:v>
                  </c:pt>
                  <c:pt idx="3">
                    <c:v>4.7368263602333346E-5</c:v>
                  </c:pt>
                  <c:pt idx="4">
                    <c:v>4.7368263602333346E-5</c:v>
                  </c:pt>
                </c:numCache>
              </c:numRef>
            </c:minus>
          </c:errBars>
          <c:xVal>
            <c:numRef>
              <c:f>Κέρδος!$A$7:$A$11</c:f>
              <c:numCache>
                <c:formatCode>0.###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</c:numCache>
            </c:numRef>
          </c:xVal>
          <c:yVal>
            <c:numRef>
              <c:f>Κέρδος!$K$7:$K$11</c:f>
              <c:numCache>
                <c:formatCode>0.000000</c:formatCode>
                <c:ptCount val="5"/>
                <c:pt idx="0">
                  <c:v>9.8998706199999995E-2</c:v>
                </c:pt>
                <c:pt idx="1">
                  <c:v>9.9828910400000012E-2</c:v>
                </c:pt>
                <c:pt idx="2">
                  <c:v>0.1002859792</c:v>
                </c:pt>
                <c:pt idx="3">
                  <c:v>0.1002859792</c:v>
                </c:pt>
                <c:pt idx="4">
                  <c:v>0.1002859792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88-40F9-BD5B-A3CFF438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10053705916543511"/>
          <c:min val="9.8771557749550987E-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gNB gain (dBi)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IP throughput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IP throughput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Προσανατολισμός!$D$7:$D$11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0.28831672930975288</c:v>
                  </c:pt>
                  <c:pt idx="2">
                    <c:v>0</c:v>
                  </c:pt>
                  <c:pt idx="3">
                    <c:v>6.4583500377109332E-2</c:v>
                  </c:pt>
                  <c:pt idx="4">
                    <c:v>0</c:v>
                  </c:pt>
                </c:numCache>
              </c:numRef>
            </c:plus>
            <c:minus>
              <c:numRef>
                <c:f>Προσανατολισμός!$D$7:$D$11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0.28831672930975288</c:v>
                  </c:pt>
                  <c:pt idx="2">
                    <c:v>0</c:v>
                  </c:pt>
                  <c:pt idx="3">
                    <c:v>6.4583500377109332E-2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Προσανατολισμός!$A$7:$A$11</c:f>
              <c:numCache>
                <c:formatCode>0.###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Προσανατολισμός!$C$7:$C$11</c:f>
              <c:numCache>
                <c:formatCode>0.000000</c:formatCode>
                <c:ptCount val="5"/>
                <c:pt idx="0">
                  <c:v>203.99951039999999</c:v>
                </c:pt>
                <c:pt idx="1">
                  <c:v>155.68947072</c:v>
                </c:pt>
                <c:pt idx="2">
                  <c:v>185.28242879999999</c:v>
                </c:pt>
                <c:pt idx="3">
                  <c:v>134.11776</c:v>
                </c:pt>
                <c:pt idx="4">
                  <c:v>49.890892800000003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53-47E2-A9E9-AA03D2CB5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24.3994614400000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Orientation (degrees)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125">
                <a:latin typeface="Arial"/>
                <a:ea typeface="Arial"/>
                <a:cs typeface="Arial"/>
              </a:rPr>
              <a:t>Goodput (Mbps)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Goodput (Mbps)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Προσανατολισμός!$F$7:$F$11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0.28266346010759474</c:v>
                  </c:pt>
                  <c:pt idx="2">
                    <c:v>0</c:v>
                  </c:pt>
                  <c:pt idx="3">
                    <c:v>6.3317157232454152E-2</c:v>
                  </c:pt>
                  <c:pt idx="4">
                    <c:v>0</c:v>
                  </c:pt>
                </c:numCache>
              </c:numRef>
            </c:plus>
            <c:minus>
              <c:numRef>
                <c:f>Προσανατολισμός!$F$7:$F$11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0.28266346010759474</c:v>
                  </c:pt>
                  <c:pt idx="2">
                    <c:v>0</c:v>
                  </c:pt>
                  <c:pt idx="3">
                    <c:v>6.3317157232454152E-2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Προσανατολισμός!$A$7:$A$11</c:f>
              <c:numCache>
                <c:formatCode>0.###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Προσανατολισμός!$E$7:$E$11</c:f>
              <c:numCache>
                <c:formatCode>0.000000</c:formatCode>
                <c:ptCount val="5"/>
                <c:pt idx="0">
                  <c:v>199.99951999999999</c:v>
                </c:pt>
                <c:pt idx="1">
                  <c:v>152.63673599999998</c:v>
                </c:pt>
                <c:pt idx="2">
                  <c:v>181.64944</c:v>
                </c:pt>
                <c:pt idx="3">
                  <c:v>131.488</c:v>
                </c:pt>
                <c:pt idx="4">
                  <c:v>48.912640000000003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7-4CD7-900E-690D2BCDD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19.999472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Orientation (degrees)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Delay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Delay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Προσανατολισμός!$H$7:$H$11</c:f>
                <c:numCache>
                  <c:formatCode>General</c:formatCode>
                  <c:ptCount val="5"/>
                  <c:pt idx="0">
                    <c:v>2.3606393389609751E-3</c:v>
                  </c:pt>
                  <c:pt idx="1">
                    <c:v>0.2696314090361504</c:v>
                  </c:pt>
                  <c:pt idx="2">
                    <c:v>3.8312897152460489E-3</c:v>
                  </c:pt>
                  <c:pt idx="3">
                    <c:v>0.5736651291989916</c:v>
                  </c:pt>
                  <c:pt idx="4">
                    <c:v>2.2796599834260809E-3</c:v>
                  </c:pt>
                </c:numCache>
              </c:numRef>
            </c:plus>
            <c:minus>
              <c:numRef>
                <c:f>Προσανατολισμός!$H$7:$H$11</c:f>
                <c:numCache>
                  <c:formatCode>General</c:formatCode>
                  <c:ptCount val="5"/>
                  <c:pt idx="0">
                    <c:v>2.3606393389609751E-3</c:v>
                  </c:pt>
                  <c:pt idx="1">
                    <c:v>0.2696314090361504</c:v>
                  </c:pt>
                  <c:pt idx="2">
                    <c:v>3.8312897152460489E-3</c:v>
                  </c:pt>
                  <c:pt idx="3">
                    <c:v>0.5736651291989916</c:v>
                  </c:pt>
                  <c:pt idx="4">
                    <c:v>2.2796599834260809E-3</c:v>
                  </c:pt>
                </c:numCache>
              </c:numRef>
            </c:minus>
          </c:errBars>
          <c:xVal>
            <c:numRef>
              <c:f>Προσανατολισμός!$A$7:$A$11</c:f>
              <c:numCache>
                <c:formatCode>0.###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Προσανατολισμός!$G$7:$G$11</c:f>
              <c:numCache>
                <c:formatCode>0.000000</c:formatCode>
                <c:ptCount val="5"/>
                <c:pt idx="0">
                  <c:v>3.6447730369999993</c:v>
                </c:pt>
                <c:pt idx="1">
                  <c:v>196.04695441999996</c:v>
                </c:pt>
                <c:pt idx="2">
                  <c:v>46.425208320000003</c:v>
                </c:pt>
                <c:pt idx="3">
                  <c:v>64.799466301999999</c:v>
                </c:pt>
                <c:pt idx="4">
                  <c:v>171.13845499999999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1E-423A-98AE-1D4E54E1F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25.21771184374236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Orientation (degrees)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Loss after drain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Loss after drain (%)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Προσανατολισμός!$J$7:$J$11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0.14133208640407116</c:v>
                  </c:pt>
                  <c:pt idx="2">
                    <c:v>0</c:v>
                  </c:pt>
                  <c:pt idx="3">
                    <c:v>3.1658621953616704E-2</c:v>
                  </c:pt>
                  <c:pt idx="4">
                    <c:v>0</c:v>
                  </c:pt>
                </c:numCache>
              </c:numRef>
            </c:plus>
            <c:minus>
              <c:numRef>
                <c:f>Προσανατολισμός!$J$7:$J$11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0.14133208640407116</c:v>
                  </c:pt>
                  <c:pt idx="2">
                    <c:v>0</c:v>
                  </c:pt>
                  <c:pt idx="3">
                    <c:v>3.1658621953616704E-2</c:v>
                  </c:pt>
                  <c:pt idx="4">
                    <c:v>0</c:v>
                  </c:pt>
                </c:numCache>
              </c:numRef>
            </c:minus>
          </c:errBars>
          <c:xVal>
            <c:numRef>
              <c:f>Προσανατολισμός!$A$7:$A$11</c:f>
              <c:numCache>
                <c:formatCode>0.###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Προσανατολισμός!$I$7:$I$11</c:f>
              <c:numCache>
                <c:formatCode>0.000000</c:formatCode>
                <c:ptCount val="5"/>
                <c:pt idx="0">
                  <c:v>0</c:v>
                </c:pt>
                <c:pt idx="1">
                  <c:v>23.68144886</c:v>
                </c:pt>
                <c:pt idx="2">
                  <c:v>9.1750620000000005</c:v>
                </c:pt>
                <c:pt idx="3">
                  <c:v>34.255842220000005</c:v>
                </c:pt>
                <c:pt idx="4">
                  <c:v>75.543621299999998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B-42E1-A330-21E68882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83.097983429999999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Orientation (degrees)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Jitter (ms)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Jitter (ms)</c:v>
          </c:tx>
          <c:spPr>
            <a:ln w="19050">
              <a:solidFill>
                <a:srgbClr val="246B9B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Προσανατολισμός!$L$7:$L$11</c:f>
                <c:numCache>
                  <c:formatCode>General</c:formatCode>
                  <c:ptCount val="5"/>
                  <c:pt idx="0">
                    <c:v>2.3436748616221196E-5</c:v>
                  </c:pt>
                  <c:pt idx="1">
                    <c:v>2.7384046315272382E-4</c:v>
                  </c:pt>
                  <c:pt idx="2">
                    <c:v>2.1457936398919869E-5</c:v>
                  </c:pt>
                  <c:pt idx="3">
                    <c:v>7.7247858596746937E-4</c:v>
                  </c:pt>
                  <c:pt idx="4">
                    <c:v>6.9381329169473764E-4</c:v>
                  </c:pt>
                </c:numCache>
              </c:numRef>
            </c:plus>
            <c:minus>
              <c:numRef>
                <c:f>Προσανατολισμός!$L$7:$L$11</c:f>
                <c:numCache>
                  <c:formatCode>General</c:formatCode>
                  <c:ptCount val="5"/>
                  <c:pt idx="0">
                    <c:v>2.3436748616221196E-5</c:v>
                  </c:pt>
                  <c:pt idx="1">
                    <c:v>2.7384046315272382E-4</c:v>
                  </c:pt>
                  <c:pt idx="2">
                    <c:v>2.1457936398919869E-5</c:v>
                  </c:pt>
                  <c:pt idx="3">
                    <c:v>7.7247858596746937E-4</c:v>
                  </c:pt>
                  <c:pt idx="4">
                    <c:v>6.9381329169473764E-4</c:v>
                  </c:pt>
                </c:numCache>
              </c:numRef>
            </c:minus>
          </c:errBars>
          <c:xVal>
            <c:numRef>
              <c:f>Προσανατολισμός!$A$7:$A$11</c:f>
              <c:numCache>
                <c:formatCode>0.###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Προσανατολισμός!$K$7:$K$11</c:f>
              <c:numCache>
                <c:formatCode>0.000000</c:formatCode>
                <c:ptCount val="5"/>
                <c:pt idx="0">
                  <c:v>9.8998706199999995E-2</c:v>
                </c:pt>
                <c:pt idx="1">
                  <c:v>0.14494465820000002</c:v>
                </c:pt>
                <c:pt idx="2">
                  <c:v>0.10885768799999999</c:v>
                </c:pt>
                <c:pt idx="3">
                  <c:v>0.12367067140000002</c:v>
                </c:pt>
                <c:pt idx="4">
                  <c:v>0.34316135060000003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4C-4019-B33D-FF3FFEC39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38058714805774141"/>
          <c:min val="6.2243285285337124E-2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  <c:max val="12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Orientation (degrees)</a:t>
                </a:r>
              </a:p>
            </c:rich>
          </c:tx>
          <c:overlay val="0"/>
        </c:title>
        <c:numFmt formatCode="0.###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gain" displayName="Data_gain" ref="A1:AJ26" totalsRowShown="0">
  <tableColumns count="36">
    <tableColumn id="1" xr3:uid="{00000000-0010-0000-0000-000001000000}" name="status"/>
    <tableColumn id="2" xr3:uid="{00000000-0010-0000-0000-000002000000}" name="experiment_index"/>
    <tableColumn id="3" xr3:uid="{00000000-0010-0000-0000-000003000000}" name="experiment_id"/>
    <tableColumn id="4" xr3:uid="{00000000-0010-0000-0000-000004000000}" name="n8n_execution_id"/>
    <tableColumn id="5" xr3:uid="{00000000-0010-0000-0000-000005000000}" name="data_source"/>
    <tableColumn id="6" xr3:uid="{00000000-0010-0000-0000-000006000000}" name="config_path"/>
    <tableColumn id="7" xr3:uid="{00000000-0010-0000-0000-000007000000}" name="results_path"/>
    <tableColumn id="8" xr3:uid="{00000000-0010-0000-0000-000008000000}" name="experiment_dir"/>
    <tableColumn id="9" xr3:uid="{00000000-0010-0000-0000-000009000000}" name="gnb_antenna_model"/>
    <tableColumn id="10" xr3:uid="{00000000-0010-0000-0000-00000A000000}" name="gnb_antenna_max_gain_dbi"/>
    <tableColumn id="11" xr3:uid="{00000000-0010-0000-0000-00000B000000}" name="gnb_antenna_orientation_deg"/>
    <tableColumn id="12" xr3:uid="{00000000-0010-0000-0000-00000C000000}" name="gnb_antenna_horizontal_beamwidth_deg"/>
    <tableColumn id="13" xr3:uid="{00000000-0010-0000-0000-00000D000000}" name="gnb_antenna_vertical_beamwidth_deg"/>
    <tableColumn id="14" xr3:uid="{00000000-0010-0000-0000-00000E000000}" name="gnb_antenna_effective_gain_toward_ue_db"/>
    <tableColumn id="15" xr3:uid="{00000000-0010-0000-0000-00000F000000}" name="carrier_frequency_hz"/>
    <tableColumn id="16" xr3:uid="{00000000-0010-0000-0000-000010000000}" name="ue_distance_2d_m"/>
    <tableColumn id="17" xr3:uid="{00000000-0010-0000-0000-000011000000}" name="ue_distance_3d_m"/>
    <tableColumn id="18" xr3:uid="{00000000-0010-0000-0000-000012000000}" name="ue_tx_power_dbm"/>
    <tableColumn id="19" xr3:uid="{00000000-0010-0000-0000-000013000000}" name="offered_load_mbps"/>
    <tableColumn id="20" xr3:uid="{00000000-0010-0000-0000-000014000000}" name="bandwidth_hz"/>
    <tableColumn id="21" xr3:uid="{00000000-0010-0000-0000-000015000000}" name="numerology"/>
    <tableColumn id="22" xr3:uid="{00000000-0010-0000-0000-000016000000}" name="tdd_pattern"/>
    <tableColumn id="23" xr3:uid="{00000000-0010-0000-0000-000017000000}" name="packet_size_bytes"/>
    <tableColumn id="24" xr3:uid="{00000000-0010-0000-0000-000018000000}" name="rlc_buffer_size_bytes"/>
    <tableColumn id="25" xr3:uid="{00000000-0010-0000-0000-000019000000}" name="rng_seed"/>
    <tableColumn id="26" xr3:uid="{00000000-0010-0000-0000-00001A000000}" name="rng_run"/>
    <tableColumn id="27" xr3:uid="{00000000-0010-0000-0000-00001B000000}" name="throughput_mbps"/>
    <tableColumn id="28" xr3:uid="{00000000-0010-0000-0000-00001C000000}" name="app_goodput_mbps"/>
    <tableColumn id="29" xr3:uid="{00000000-0010-0000-0000-00001D000000}" name="end_to_end_delay_ms"/>
    <tableColumn id="30" xr3:uid="{00000000-0010-0000-0000-00001E000000}" name="jitter_ms"/>
    <tableColumn id="31" xr3:uid="{00000000-0010-0000-0000-00001F000000}" name="loss_fraction"/>
    <tableColumn id="32" xr3:uid="{00000000-0010-0000-0000-000020000000}" name="tx_packets"/>
    <tableColumn id="33" xr3:uid="{00000000-0010-0000-0000-000021000000}" name="rx_packets"/>
    <tableColumn id="34" xr3:uid="{00000000-0010-0000-0000-000022000000}" name="ip_rx_bytes"/>
    <tableColumn id="35" xr3:uid="{00000000-0010-0000-0000-000023000000}" name="unreceived_packets_after_drain"/>
    <tableColumn id="36" xr3:uid="{00000000-0010-0000-0000-000024000000}" name="source_cs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orientation" displayName="Data_orientation" ref="A1:AJ26" totalsRowShown="0">
  <tableColumns count="36">
    <tableColumn id="1" xr3:uid="{00000000-0010-0000-0100-000001000000}" name="status"/>
    <tableColumn id="2" xr3:uid="{00000000-0010-0000-0100-000002000000}" name="experiment_index"/>
    <tableColumn id="3" xr3:uid="{00000000-0010-0000-0100-000003000000}" name="experiment_id"/>
    <tableColumn id="4" xr3:uid="{00000000-0010-0000-0100-000004000000}" name="n8n_execution_id"/>
    <tableColumn id="5" xr3:uid="{00000000-0010-0000-0100-000005000000}" name="data_source"/>
    <tableColumn id="6" xr3:uid="{00000000-0010-0000-0100-000006000000}" name="config_path"/>
    <tableColumn id="7" xr3:uid="{00000000-0010-0000-0100-000007000000}" name="results_path"/>
    <tableColumn id="8" xr3:uid="{00000000-0010-0000-0100-000008000000}" name="experiment_dir"/>
    <tableColumn id="9" xr3:uid="{00000000-0010-0000-0100-000009000000}" name="gnb_antenna_model"/>
    <tableColumn id="10" xr3:uid="{00000000-0010-0000-0100-00000A000000}" name="gnb_antenna_max_gain_dbi"/>
    <tableColumn id="11" xr3:uid="{00000000-0010-0000-0100-00000B000000}" name="gnb_antenna_orientation_deg"/>
    <tableColumn id="12" xr3:uid="{00000000-0010-0000-0100-00000C000000}" name="gnb_antenna_horizontal_beamwidth_deg"/>
    <tableColumn id="13" xr3:uid="{00000000-0010-0000-0100-00000D000000}" name="gnb_antenna_vertical_beamwidth_deg"/>
    <tableColumn id="14" xr3:uid="{00000000-0010-0000-0100-00000E000000}" name="gnb_antenna_effective_gain_toward_ue_db"/>
    <tableColumn id="15" xr3:uid="{00000000-0010-0000-0100-00000F000000}" name="carrier_frequency_hz"/>
    <tableColumn id="16" xr3:uid="{00000000-0010-0000-0100-000010000000}" name="ue_distance_2d_m"/>
    <tableColumn id="17" xr3:uid="{00000000-0010-0000-0100-000011000000}" name="ue_distance_3d_m"/>
    <tableColumn id="18" xr3:uid="{00000000-0010-0000-0100-000012000000}" name="ue_tx_power_dbm"/>
    <tableColumn id="19" xr3:uid="{00000000-0010-0000-0100-000013000000}" name="offered_load_mbps"/>
    <tableColumn id="20" xr3:uid="{00000000-0010-0000-0100-000014000000}" name="bandwidth_hz"/>
    <tableColumn id="21" xr3:uid="{00000000-0010-0000-0100-000015000000}" name="numerology"/>
    <tableColumn id="22" xr3:uid="{00000000-0010-0000-0100-000016000000}" name="tdd_pattern"/>
    <tableColumn id="23" xr3:uid="{00000000-0010-0000-0100-000017000000}" name="packet_size_bytes"/>
    <tableColumn id="24" xr3:uid="{00000000-0010-0000-0100-000018000000}" name="rlc_buffer_size_bytes"/>
    <tableColumn id="25" xr3:uid="{00000000-0010-0000-0100-000019000000}" name="rng_seed"/>
    <tableColumn id="26" xr3:uid="{00000000-0010-0000-0100-00001A000000}" name="rng_run"/>
    <tableColumn id="27" xr3:uid="{00000000-0010-0000-0100-00001B000000}" name="throughput_mbps"/>
    <tableColumn id="28" xr3:uid="{00000000-0010-0000-0100-00001C000000}" name="app_goodput_mbps"/>
    <tableColumn id="29" xr3:uid="{00000000-0010-0000-0100-00001D000000}" name="end_to_end_delay_ms"/>
    <tableColumn id="30" xr3:uid="{00000000-0010-0000-0100-00001E000000}" name="jitter_ms"/>
    <tableColumn id="31" xr3:uid="{00000000-0010-0000-0100-00001F000000}" name="loss_fraction"/>
    <tableColumn id="32" xr3:uid="{00000000-0010-0000-0100-000020000000}" name="tx_packets"/>
    <tableColumn id="33" xr3:uid="{00000000-0010-0000-0100-000021000000}" name="rx_packets"/>
    <tableColumn id="34" xr3:uid="{00000000-0010-0000-0100-000022000000}" name="ip_rx_bytes"/>
    <tableColumn id="35" xr3:uid="{00000000-0010-0000-0100-000023000000}" name="unreceived_packets_after_drain"/>
    <tableColumn id="36" xr3:uid="{00000000-0010-0000-0100-000024000000}" name="source_cs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B70"/>
  </sheetPr>
  <dimension ref="A1:L82"/>
  <sheetViews>
    <sheetView showGridLines="0" tabSelected="1" topLeftCell="A62" zoomScale="64" workbookViewId="0">
      <selection activeCell="A74" sqref="A74"/>
    </sheetView>
  </sheetViews>
  <sheetFormatPr defaultRowHeight="13.8"/>
  <cols>
    <col min="1" max="12" width="15" customWidth="1"/>
  </cols>
  <sheetData>
    <row r="1" spans="1:12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95" customHeight="1">
      <c r="A2" s="4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5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64.95" customHeight="1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5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8</v>
      </c>
    </row>
    <row r="7" spans="1:12" ht="22.95" customHeight="1">
      <c r="A7" s="5">
        <f>'Κέρδος δεδομένα'!J2/1</f>
        <v>0</v>
      </c>
      <c r="B7" s="6">
        <f>COUNT('Κέρδος δεδομένα'!Z2:Z6)</f>
        <v>5</v>
      </c>
      <c r="C7" s="7">
        <f>AVERAGE('Κέρδος δεδομένα'!AA2:AA6)*1</f>
        <v>203.99951039999999</v>
      </c>
      <c r="D7" s="7">
        <f>STDEV('Κέρδος δεδομένα'!AA2:AA6)*1</f>
        <v>0</v>
      </c>
      <c r="E7" s="7">
        <f>AVERAGE('Κέρδος δεδομένα'!AB2:AB6)*1</f>
        <v>199.99951999999999</v>
      </c>
      <c r="F7" s="7">
        <f>STDEV('Κέρδος δεδομένα'!AB2:AB6)*1</f>
        <v>0</v>
      </c>
      <c r="G7" s="7">
        <f>AVERAGE('Κέρδος δεδομένα'!AC2:AC6)*1</f>
        <v>3.6447730369999993</v>
      </c>
      <c r="H7" s="7">
        <f>STDEV('Κέρδος δεδομένα'!AC2:AC6)*1</f>
        <v>2.3606393389609751E-3</v>
      </c>
      <c r="I7" s="7">
        <f>AVERAGE('Κέρδος δεδομένα'!AE2:AE6)*100</f>
        <v>0</v>
      </c>
      <c r="J7" s="7">
        <f>STDEV('Κέρδος δεδομένα'!AE2:AE6)*100</f>
        <v>0</v>
      </c>
      <c r="K7" s="7">
        <f>AVERAGE('Κέρδος δεδομένα'!AD2:AD6)*1</f>
        <v>9.8998706199999995E-2</v>
      </c>
      <c r="L7" s="7">
        <f>STDEV('Κέρδος δεδομένα'!AD2:AD6)*1</f>
        <v>2.3436748616221196E-5</v>
      </c>
    </row>
    <row r="8" spans="1:12" ht="22.95" customHeight="1">
      <c r="A8" s="5">
        <f>'Κέρδος δεδομένα'!J7/1</f>
        <v>3</v>
      </c>
      <c r="B8" s="6">
        <f>COUNT('Κέρδος δεδομένα'!Z7:Z11)</f>
        <v>5</v>
      </c>
      <c r="C8" s="7">
        <f>AVERAGE('Κέρδος δεδομένα'!AA7:AA11)*1</f>
        <v>203.99951039999999</v>
      </c>
      <c r="D8" s="7">
        <f>STDEV('Κέρδος δεδομένα'!AA7:AA11)*1</f>
        <v>0</v>
      </c>
      <c r="E8" s="7">
        <f>AVERAGE('Κέρδος δεδομένα'!AB7:AB11)*1</f>
        <v>199.99951999999999</v>
      </c>
      <c r="F8" s="7">
        <f>STDEV('Κέρδος δεδομένα'!AB7:AB11)*1</f>
        <v>0</v>
      </c>
      <c r="G8" s="7">
        <f>AVERAGE('Κέρδος δεδομένα'!AC7:AC11)*1</f>
        <v>3.6204984174000003</v>
      </c>
      <c r="H8" s="7">
        <f>STDEV('Κέρδος δεδομένα'!AC7:AC11)*1</f>
        <v>4.4437022421185881E-3</v>
      </c>
      <c r="I8" s="7">
        <f>AVERAGE('Κέρδος δεδομένα'!AE7:AE11)*100</f>
        <v>0</v>
      </c>
      <c r="J8" s="7">
        <f>STDEV('Κέρδος δεδομένα'!AE7:AE11)*100</f>
        <v>0</v>
      </c>
      <c r="K8" s="7">
        <f>AVERAGE('Κέρδος δεδομένα'!AD7:AD11)*1</f>
        <v>9.9828910400000012E-2</v>
      </c>
      <c r="L8" s="7">
        <f>STDEV('Κέρδος δεδομένα'!AD7:AD11)*1</f>
        <v>1.7489341319790683E-5</v>
      </c>
    </row>
    <row r="9" spans="1:12" ht="22.95" customHeight="1">
      <c r="A9" s="5">
        <f>'Κέρδος δεδομένα'!J12/1</f>
        <v>6</v>
      </c>
      <c r="B9" s="6">
        <f>COUNT('Κέρδος δεδομένα'!Z12:Z16)</f>
        <v>5</v>
      </c>
      <c r="C9" s="7">
        <f>AVERAGE('Κέρδος δεδομένα'!AA12:AA16)*1</f>
        <v>203.99951039999999</v>
      </c>
      <c r="D9" s="7">
        <f>STDEV('Κέρδος δεδομένα'!AA12:AA16)*1</f>
        <v>0</v>
      </c>
      <c r="E9" s="7">
        <f>AVERAGE('Κέρδος δεδομένα'!AB12:AB16)*1</f>
        <v>199.99951999999999</v>
      </c>
      <c r="F9" s="7">
        <f>STDEV('Κέρδος δεδομένα'!AB12:AB16)*1</f>
        <v>0</v>
      </c>
      <c r="G9" s="7">
        <f>AVERAGE('Κέρδος δεδομένα'!AC12:AC16)*1</f>
        <v>3.6404771293999998</v>
      </c>
      <c r="H9" s="7">
        <f>STDEV('Κέρδος δεδομένα'!AC12:AC16)*1</f>
        <v>4.8753084730729793E-3</v>
      </c>
      <c r="I9" s="7">
        <f>AVERAGE('Κέρδος δεδομένα'!AE12:AE16)*100</f>
        <v>0</v>
      </c>
      <c r="J9" s="7">
        <f>STDEV('Κέρδος δεδομένα'!AE12:AE16)*100</f>
        <v>0</v>
      </c>
      <c r="K9" s="7">
        <f>AVERAGE('Κέρδος δεδομένα'!AD12:AD16)*1</f>
        <v>0.1002859792</v>
      </c>
      <c r="L9" s="7">
        <f>STDEV('Κέρδος δεδομένα'!AD12:AD16)*1</f>
        <v>4.7368263602333346E-5</v>
      </c>
    </row>
    <row r="10" spans="1:12" ht="22.95" customHeight="1">
      <c r="A10" s="5">
        <f>'Κέρδος δεδομένα'!J17/1</f>
        <v>9</v>
      </c>
      <c r="B10" s="6">
        <f>COUNT('Κέρδος δεδομένα'!Z17:Z21)</f>
        <v>5</v>
      </c>
      <c r="C10" s="7">
        <f>AVERAGE('Κέρδος δεδομένα'!AA17:AA21)*1</f>
        <v>203.99951039999999</v>
      </c>
      <c r="D10" s="7">
        <f>STDEV('Κέρδος δεδομένα'!AA17:AA21)*1</f>
        <v>0</v>
      </c>
      <c r="E10" s="7">
        <f>AVERAGE('Κέρδος δεδομένα'!AB17:AB21)*1</f>
        <v>199.99951999999999</v>
      </c>
      <c r="F10" s="7">
        <f>STDEV('Κέρδος δεδομένα'!AB17:AB21)*1</f>
        <v>0</v>
      </c>
      <c r="G10" s="7">
        <f>AVERAGE('Κέρδος δεδομένα'!AC17:AC21)*1</f>
        <v>3.6404771293999998</v>
      </c>
      <c r="H10" s="7">
        <f>STDEV('Κέρδος δεδομένα'!AC17:AC21)*1</f>
        <v>4.8753084730729793E-3</v>
      </c>
      <c r="I10" s="7">
        <f>AVERAGE('Κέρδος δεδομένα'!AE17:AE21)*100</f>
        <v>0</v>
      </c>
      <c r="J10" s="7">
        <f>STDEV('Κέρδος δεδομένα'!AE17:AE21)*100</f>
        <v>0</v>
      </c>
      <c r="K10" s="7">
        <f>AVERAGE('Κέρδος δεδομένα'!AD17:AD21)*1</f>
        <v>0.1002859792</v>
      </c>
      <c r="L10" s="7">
        <f>STDEV('Κέρδος δεδομένα'!AD17:AD21)*1</f>
        <v>4.7368263602333346E-5</v>
      </c>
    </row>
    <row r="11" spans="1:12" ht="22.95" customHeight="1">
      <c r="A11" s="5">
        <f>'Κέρδος δεδομένα'!J22/1</f>
        <v>12</v>
      </c>
      <c r="B11" s="6">
        <f>COUNT('Κέρδος δεδομένα'!Z22:Z26)</f>
        <v>5</v>
      </c>
      <c r="C11" s="7">
        <f>AVERAGE('Κέρδος δεδομένα'!AA22:AA26)*1</f>
        <v>203.99951039999999</v>
      </c>
      <c r="D11" s="7">
        <f>STDEV('Κέρδος δεδομένα'!AA22:AA26)*1</f>
        <v>0</v>
      </c>
      <c r="E11" s="7">
        <f>AVERAGE('Κέρδος δεδομένα'!AB22:AB26)*1</f>
        <v>199.99951999999999</v>
      </c>
      <c r="F11" s="7">
        <f>STDEV('Κέρδος δεδομένα'!AB22:AB26)*1</f>
        <v>0</v>
      </c>
      <c r="G11" s="7">
        <f>AVERAGE('Κέρδος δεδομένα'!AC22:AC26)*1</f>
        <v>3.6404771293999998</v>
      </c>
      <c r="H11" s="7">
        <f>STDEV('Κέρδος δεδομένα'!AC22:AC26)*1</f>
        <v>4.8753084730729793E-3</v>
      </c>
      <c r="I11" s="7">
        <f>AVERAGE('Κέρδος δεδομένα'!AE22:AE26)*100</f>
        <v>0</v>
      </c>
      <c r="J11" s="7">
        <f>STDEV('Κέρδος δεδομένα'!AE22:AE26)*100</f>
        <v>0</v>
      </c>
      <c r="K11" s="7">
        <f>AVERAGE('Κέρδος δεδομένα'!AD22:AD26)*1</f>
        <v>0.1002859792</v>
      </c>
      <c r="L11" s="7">
        <f>STDEV('Κέρδος δεδομένα'!AD22:AD26)*1</f>
        <v>4.7368263602333346E-5</v>
      </c>
    </row>
    <row r="12" spans="1:12" ht="22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2.95" customHeight="1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2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2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2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2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2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2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2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2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2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2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2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2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2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2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2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2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2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2.95" customHeight="1">
      <c r="A66" s="1" t="s">
        <v>13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.95" customHeight="1">
      <c r="A67" s="1" t="s">
        <v>14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2.95" customHeight="1">
      <c r="A68" s="1" t="s">
        <v>15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2.95" customHeight="1">
      <c r="A69" s="1" t="s">
        <v>16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2.95" customHeight="1">
      <c r="A70" s="1" t="s">
        <v>17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2.95" customHeight="1">
      <c r="A71" s="1" t="s">
        <v>18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2.95" customHeight="1">
      <c r="A72" s="1" t="s">
        <v>19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2.95" customHeight="1">
      <c r="A73" s="1" t="s">
        <v>20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2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2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2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2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2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2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2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B70"/>
  </sheetPr>
  <dimension ref="A1:L82"/>
  <sheetViews>
    <sheetView showGridLines="0" zoomScale="58" workbookViewId="0"/>
  </sheetViews>
  <sheetFormatPr defaultRowHeight="13.8"/>
  <cols>
    <col min="1" max="12" width="15" customWidth="1"/>
  </cols>
  <sheetData>
    <row r="1" spans="1:12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95" customHeight="1">
      <c r="A2" s="4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2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95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64.95" customHeight="1">
      <c r="A6" s="2" t="s">
        <v>23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5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8</v>
      </c>
    </row>
    <row r="7" spans="1:12" ht="22.95" customHeight="1">
      <c r="A7" s="5">
        <f>'Προσανατολισμός δεδομένα'!K2/1</f>
        <v>0</v>
      </c>
      <c r="B7" s="6">
        <f>COUNT('Προσανατολισμός δεδομένα'!Z2:Z6)</f>
        <v>5</v>
      </c>
      <c r="C7" s="7">
        <f>AVERAGE('Προσανατολισμός δεδομένα'!AA2:AA6)*1</f>
        <v>203.99951039999999</v>
      </c>
      <c r="D7" s="7">
        <f>STDEV('Προσανατολισμός δεδομένα'!AA2:AA6)*1</f>
        <v>0</v>
      </c>
      <c r="E7" s="7">
        <f>AVERAGE('Προσανατολισμός δεδομένα'!AB2:AB6)*1</f>
        <v>199.99951999999999</v>
      </c>
      <c r="F7" s="7">
        <f>STDEV('Προσανατολισμός δεδομένα'!AB2:AB6)*1</f>
        <v>0</v>
      </c>
      <c r="G7" s="7">
        <f>AVERAGE('Προσανατολισμός δεδομένα'!AC2:AC6)*1</f>
        <v>3.6447730369999993</v>
      </c>
      <c r="H7" s="7">
        <f>STDEV('Προσανατολισμός δεδομένα'!AC2:AC6)*1</f>
        <v>2.3606393389609751E-3</v>
      </c>
      <c r="I7" s="7">
        <f>AVERAGE('Προσανατολισμός δεδομένα'!AE2:AE6)*100</f>
        <v>0</v>
      </c>
      <c r="J7" s="7">
        <f>STDEV('Προσανατολισμός δεδομένα'!AE2:AE6)*100</f>
        <v>0</v>
      </c>
      <c r="K7" s="7">
        <f>AVERAGE('Προσανατολισμός δεδομένα'!AD2:AD6)*1</f>
        <v>9.8998706199999995E-2</v>
      </c>
      <c r="L7" s="7">
        <f>STDEV('Προσανατολισμός δεδομένα'!AD2:AD6)*1</f>
        <v>2.3436748616221196E-5</v>
      </c>
    </row>
    <row r="8" spans="1:12" ht="22.95" customHeight="1">
      <c r="A8" s="5">
        <f>'Προσανατολισμός δεδομένα'!K7/1</f>
        <v>30</v>
      </c>
      <c r="B8" s="6">
        <f>COUNT('Προσανατολισμός δεδομένα'!Z7:Z11)</f>
        <v>5</v>
      </c>
      <c r="C8" s="7">
        <f>AVERAGE('Προσανατολισμός δεδομένα'!AA7:AA11)*1</f>
        <v>155.68947072</v>
      </c>
      <c r="D8" s="7">
        <f>STDEV('Προσανατολισμός δεδομένα'!AA7:AA11)*1</f>
        <v>0.28831672930975288</v>
      </c>
      <c r="E8" s="7">
        <f>AVERAGE('Προσανατολισμός δεδομένα'!AB7:AB11)*1</f>
        <v>152.63673599999998</v>
      </c>
      <c r="F8" s="7">
        <f>STDEV('Προσανατολισμός δεδομένα'!AB7:AB11)*1</f>
        <v>0.28266346010759474</v>
      </c>
      <c r="G8" s="7">
        <f>AVERAGE('Προσανατολισμός δεδομένα'!AC7:AC11)*1</f>
        <v>196.04695441999996</v>
      </c>
      <c r="H8" s="7">
        <f>STDEV('Προσανατολισμός δεδομένα'!AC7:AC11)*1</f>
        <v>0.2696314090361504</v>
      </c>
      <c r="I8" s="7">
        <f>AVERAGE('Προσανατολισμός δεδομένα'!AE7:AE11)*100</f>
        <v>23.68144886</v>
      </c>
      <c r="J8" s="7">
        <f>STDEV('Προσανατολισμός δεδομένα'!AE7:AE11)*100</f>
        <v>0.14133208640407116</v>
      </c>
      <c r="K8" s="7">
        <f>AVERAGE('Προσανατολισμός δεδομένα'!AD7:AD11)*1</f>
        <v>0.14494465820000002</v>
      </c>
      <c r="L8" s="7">
        <f>STDEV('Προσανατολισμός δεδομένα'!AD7:AD11)*1</f>
        <v>2.7384046315272382E-4</v>
      </c>
    </row>
    <row r="9" spans="1:12" ht="22.95" customHeight="1">
      <c r="A9" s="5">
        <f>'Προσανατολισμός δεδομένα'!K12/1</f>
        <v>60</v>
      </c>
      <c r="B9" s="6">
        <f>COUNT('Προσανατολισμός δεδομένα'!Z12:Z16)</f>
        <v>5</v>
      </c>
      <c r="C9" s="7">
        <f>AVERAGE('Προσανατολισμός δεδομένα'!AA12:AA16)*1</f>
        <v>185.28242879999999</v>
      </c>
      <c r="D9" s="7">
        <f>STDEV('Προσανατολισμός δεδομένα'!AA12:AA16)*1</f>
        <v>0</v>
      </c>
      <c r="E9" s="7">
        <f>AVERAGE('Προσανατολισμός δεδομένα'!AB12:AB16)*1</f>
        <v>181.64944</v>
      </c>
      <c r="F9" s="7">
        <f>STDEV('Προσανατολισμός δεδομένα'!AB12:AB16)*1</f>
        <v>0</v>
      </c>
      <c r="G9" s="7">
        <f>AVERAGE('Προσανατολισμός δεδομένα'!AC12:AC16)*1</f>
        <v>46.425208320000003</v>
      </c>
      <c r="H9" s="7">
        <f>STDEV('Προσανατολισμός δεδομένα'!AC12:AC16)*1</f>
        <v>3.8312897152460489E-3</v>
      </c>
      <c r="I9" s="7">
        <f>AVERAGE('Προσανατολισμός δεδομένα'!AE12:AE16)*100</f>
        <v>9.1750620000000005</v>
      </c>
      <c r="J9" s="7">
        <f>STDEV('Προσανατολισμός δεδομένα'!AE12:AE16)*100</f>
        <v>0</v>
      </c>
      <c r="K9" s="7">
        <f>AVERAGE('Προσανατολισμός δεδομένα'!AD12:AD16)*1</f>
        <v>0.10885768799999999</v>
      </c>
      <c r="L9" s="7">
        <f>STDEV('Προσανατολισμός δεδομένα'!AD12:AD16)*1</f>
        <v>2.1457936398919869E-5</v>
      </c>
    </row>
    <row r="10" spans="1:12" ht="22.95" customHeight="1">
      <c r="A10" s="5">
        <f>'Προσανατολισμός δεδομένα'!K17/1</f>
        <v>90</v>
      </c>
      <c r="B10" s="6">
        <f>COUNT('Προσανατολισμός δεδομένα'!Z17:Z21)</f>
        <v>5</v>
      </c>
      <c r="C10" s="7">
        <f>AVERAGE('Προσανατολισμός δεδομένα'!AA17:AA21)*1</f>
        <v>134.11776</v>
      </c>
      <c r="D10" s="7">
        <f>STDEV('Προσανατολισμός δεδομένα'!AA17:AA21)*1</f>
        <v>6.4583500377109332E-2</v>
      </c>
      <c r="E10" s="7">
        <f>AVERAGE('Προσανατολισμός δεδομένα'!AB17:AB21)*1</f>
        <v>131.488</v>
      </c>
      <c r="F10" s="7">
        <f>STDEV('Προσανατολισμός δεδομένα'!AB17:AB21)*1</f>
        <v>6.3317157232454152E-2</v>
      </c>
      <c r="G10" s="7">
        <f>AVERAGE('Προσανατολισμός δεδομένα'!AC17:AC21)*1</f>
        <v>64.799466301999999</v>
      </c>
      <c r="H10" s="7">
        <f>STDEV('Προσανατολισμός δεδομένα'!AC17:AC21)*1</f>
        <v>0.5736651291989916</v>
      </c>
      <c r="I10" s="7">
        <f>AVERAGE('Προσανατολισμός δεδομένα'!AE17:AE21)*100</f>
        <v>34.255842220000005</v>
      </c>
      <c r="J10" s="7">
        <f>STDEV('Προσανατολισμός δεδομένα'!AE17:AE21)*100</f>
        <v>3.1658621953616704E-2</v>
      </c>
      <c r="K10" s="7">
        <f>AVERAGE('Προσανατολισμός δεδομένα'!AD17:AD21)*1</f>
        <v>0.12367067140000002</v>
      </c>
      <c r="L10" s="7">
        <f>STDEV('Προσανατολισμός δεδομένα'!AD17:AD21)*1</f>
        <v>7.7247858596746937E-4</v>
      </c>
    </row>
    <row r="11" spans="1:12" ht="22.95" customHeight="1">
      <c r="A11" s="5">
        <f>'Προσανατολισμός δεδομένα'!K22/1</f>
        <v>120</v>
      </c>
      <c r="B11" s="6">
        <f>COUNT('Προσανατολισμός δεδομένα'!Z22:Z26)</f>
        <v>5</v>
      </c>
      <c r="C11" s="7">
        <f>AVERAGE('Προσανατολισμός δεδομένα'!AA22:AA26)*1</f>
        <v>49.890892800000003</v>
      </c>
      <c r="D11" s="7">
        <f>STDEV('Προσανατολισμός δεδομένα'!AA22:AA26)*1</f>
        <v>0</v>
      </c>
      <c r="E11" s="7">
        <f>AVERAGE('Προσανατολισμός δεδομένα'!AB22:AB26)*1</f>
        <v>48.912640000000003</v>
      </c>
      <c r="F11" s="7">
        <f>STDEV('Προσανατολισμός δεδομένα'!AB22:AB26)*1</f>
        <v>0</v>
      </c>
      <c r="G11" s="7">
        <f>AVERAGE('Προσανατολισμός δεδομένα'!AC22:AC26)*1</f>
        <v>171.13845499999999</v>
      </c>
      <c r="H11" s="7">
        <f>STDEV('Προσανατολισμός δεδομένα'!AC22:AC26)*1</f>
        <v>2.2796599834260809E-3</v>
      </c>
      <c r="I11" s="7">
        <f>AVERAGE('Προσανατολισμός δεδομένα'!AE22:AE26)*100</f>
        <v>75.543621299999998</v>
      </c>
      <c r="J11" s="7">
        <f>STDEV('Προσανατολισμός δεδομένα'!AE22:AE26)*100</f>
        <v>0</v>
      </c>
      <c r="K11" s="7">
        <f>AVERAGE('Προσανατολισμός δεδομένα'!AD22:AD26)*1</f>
        <v>0.34316135060000003</v>
      </c>
      <c r="L11" s="7">
        <f>STDEV('Προσανατολισμός δεδομένα'!AD22:AD26)*1</f>
        <v>6.9381329169473764E-4</v>
      </c>
    </row>
    <row r="12" spans="1:12" ht="22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2.95" customHeight="1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2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2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2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2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2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2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2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2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2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2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2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2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2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2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2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2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2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2.95" customHeight="1">
      <c r="A66" s="1" t="s">
        <v>24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.95" customHeight="1">
      <c r="A67" s="1" t="s">
        <v>14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22.95" customHeight="1">
      <c r="A68" s="1" t="s">
        <v>15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22.95" customHeight="1">
      <c r="A69" s="1" t="s">
        <v>16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2.95" customHeight="1">
      <c r="A70" s="1" t="s">
        <v>17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2.95" customHeight="1">
      <c r="A71" s="1" t="s">
        <v>18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22.95" customHeight="1">
      <c r="A72" s="1" t="s">
        <v>19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2.95" customHeight="1">
      <c r="A73" s="1" t="s">
        <v>20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2.95" customHeight="1">
      <c r="A74" s="1" t="s">
        <v>21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2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2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2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2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2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2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4B70"/>
  </sheetPr>
  <dimension ref="A1:AJ26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22" customWidth="1"/>
    <col min="3" max="3" width="36" customWidth="1"/>
    <col min="4" max="5" width="22" customWidth="1"/>
    <col min="6" max="8" width="70" customWidth="1"/>
    <col min="9" max="35" width="22" customWidth="1"/>
    <col min="36" max="36" width="70" customWidth="1"/>
  </cols>
  <sheetData>
    <row r="1" spans="1:36" ht="76.05" customHeigh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</row>
    <row r="2" spans="1:36" ht="22.95" customHeight="1">
      <c r="A2" s="1" t="s">
        <v>61</v>
      </c>
      <c r="B2" s="1">
        <v>1</v>
      </c>
      <c r="C2" s="1" t="s">
        <v>62</v>
      </c>
      <c r="D2" s="1">
        <v>146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>
        <v>0</v>
      </c>
      <c r="K2" s="1">
        <v>0</v>
      </c>
      <c r="L2" s="1">
        <v>120</v>
      </c>
      <c r="M2" s="1">
        <v>360</v>
      </c>
      <c r="N2" s="1">
        <v>0</v>
      </c>
      <c r="O2" s="1">
        <v>3500000000</v>
      </c>
      <c r="P2" s="1">
        <v>100</v>
      </c>
      <c r="Q2" s="1">
        <v>100.3605998</v>
      </c>
      <c r="R2" s="1">
        <v>10</v>
      </c>
      <c r="S2" s="1">
        <v>200</v>
      </c>
      <c r="T2" s="1">
        <v>100000000</v>
      </c>
      <c r="U2" s="1">
        <v>2</v>
      </c>
      <c r="V2" s="1" t="s">
        <v>68</v>
      </c>
      <c r="W2" s="1">
        <v>1400</v>
      </c>
      <c r="X2" s="1">
        <v>1048576</v>
      </c>
      <c r="Y2" s="1">
        <v>42</v>
      </c>
      <c r="Z2" s="1">
        <v>1</v>
      </c>
      <c r="AA2" s="3">
        <v>203.99951039999999</v>
      </c>
      <c r="AB2" s="3">
        <v>199.99951999999999</v>
      </c>
      <c r="AC2" s="3">
        <v>3.6406618260000001</v>
      </c>
      <c r="AD2" s="3">
        <v>9.9003695000000003E-2</v>
      </c>
      <c r="AE2" s="3">
        <v>0</v>
      </c>
      <c r="AF2" s="1">
        <v>178571</v>
      </c>
      <c r="AG2" s="1">
        <v>178571</v>
      </c>
      <c r="AH2" s="1">
        <v>254999388</v>
      </c>
      <c r="AI2" s="1">
        <v>0</v>
      </c>
      <c r="AJ2" s="1" t="s">
        <v>69</v>
      </c>
    </row>
    <row r="3" spans="1:36" ht="22.95" customHeight="1">
      <c r="A3" s="1" t="s">
        <v>61</v>
      </c>
      <c r="B3" s="1">
        <v>1</v>
      </c>
      <c r="C3" s="1" t="s">
        <v>70</v>
      </c>
      <c r="D3" s="1">
        <v>147</v>
      </c>
      <c r="E3" s="1" t="s">
        <v>63</v>
      </c>
      <c r="F3" s="1" t="s">
        <v>71</v>
      </c>
      <c r="G3" s="1" t="s">
        <v>72</v>
      </c>
      <c r="H3" s="1" t="s">
        <v>73</v>
      </c>
      <c r="I3" s="1" t="s">
        <v>67</v>
      </c>
      <c r="J3" s="1">
        <v>0</v>
      </c>
      <c r="K3" s="1">
        <v>0</v>
      </c>
      <c r="L3" s="1">
        <v>120</v>
      </c>
      <c r="M3" s="1">
        <v>360</v>
      </c>
      <c r="N3" s="1">
        <v>0</v>
      </c>
      <c r="O3" s="1">
        <v>3500000000</v>
      </c>
      <c r="P3" s="1">
        <v>100</v>
      </c>
      <c r="Q3" s="1">
        <v>100.3605998</v>
      </c>
      <c r="R3" s="1">
        <v>10</v>
      </c>
      <c r="S3" s="1">
        <v>200</v>
      </c>
      <c r="T3" s="1">
        <v>100000000</v>
      </c>
      <c r="U3" s="1">
        <v>2</v>
      </c>
      <c r="V3" s="1" t="s">
        <v>68</v>
      </c>
      <c r="W3" s="1">
        <v>1400</v>
      </c>
      <c r="X3" s="1">
        <v>1048576</v>
      </c>
      <c r="Y3" s="1">
        <v>42</v>
      </c>
      <c r="Z3" s="1">
        <v>2</v>
      </c>
      <c r="AA3" s="3">
        <v>203.99951039999999</v>
      </c>
      <c r="AB3" s="3">
        <v>199.99951999999999</v>
      </c>
      <c r="AC3" s="3">
        <v>3.6465550649999998</v>
      </c>
      <c r="AD3" s="3">
        <v>9.9026085E-2</v>
      </c>
      <c r="AE3" s="3">
        <v>0</v>
      </c>
      <c r="AF3" s="1">
        <v>178571</v>
      </c>
      <c r="AG3" s="1">
        <v>178571</v>
      </c>
      <c r="AH3" s="1">
        <v>254999388</v>
      </c>
      <c r="AI3" s="1">
        <v>0</v>
      </c>
      <c r="AJ3" s="1" t="s">
        <v>74</v>
      </c>
    </row>
    <row r="4" spans="1:36" ht="22.95" customHeight="1">
      <c r="A4" s="1" t="s">
        <v>61</v>
      </c>
      <c r="B4" s="1">
        <v>1</v>
      </c>
      <c r="C4" s="1" t="s">
        <v>75</v>
      </c>
      <c r="D4" s="1">
        <v>148</v>
      </c>
      <c r="E4" s="1" t="s">
        <v>63</v>
      </c>
      <c r="F4" s="1" t="s">
        <v>76</v>
      </c>
      <c r="G4" s="1" t="s">
        <v>77</v>
      </c>
      <c r="H4" s="1" t="s">
        <v>78</v>
      </c>
      <c r="I4" s="1" t="s">
        <v>67</v>
      </c>
      <c r="J4" s="1">
        <v>0</v>
      </c>
      <c r="K4" s="1">
        <v>0</v>
      </c>
      <c r="L4" s="1">
        <v>120</v>
      </c>
      <c r="M4" s="1">
        <v>360</v>
      </c>
      <c r="N4" s="1">
        <v>0</v>
      </c>
      <c r="O4" s="1">
        <v>3500000000</v>
      </c>
      <c r="P4" s="1">
        <v>100</v>
      </c>
      <c r="Q4" s="1">
        <v>100.3605998</v>
      </c>
      <c r="R4" s="1">
        <v>10</v>
      </c>
      <c r="S4" s="1">
        <v>200</v>
      </c>
      <c r="T4" s="1">
        <v>100000000</v>
      </c>
      <c r="U4" s="1">
        <v>2</v>
      </c>
      <c r="V4" s="1" t="s">
        <v>68</v>
      </c>
      <c r="W4" s="1">
        <v>1400</v>
      </c>
      <c r="X4" s="1">
        <v>1048576</v>
      </c>
      <c r="Y4" s="1">
        <v>42</v>
      </c>
      <c r="Z4" s="1">
        <v>3</v>
      </c>
      <c r="AA4" s="3">
        <v>203.99951039999999</v>
      </c>
      <c r="AB4" s="3">
        <v>199.99951999999999</v>
      </c>
      <c r="AC4" s="3">
        <v>3.645780995</v>
      </c>
      <c r="AD4" s="3">
        <v>9.9012831999999995E-2</v>
      </c>
      <c r="AE4" s="3">
        <v>0</v>
      </c>
      <c r="AF4" s="1">
        <v>178571</v>
      </c>
      <c r="AG4" s="1">
        <v>178571</v>
      </c>
      <c r="AH4" s="1">
        <v>254999388</v>
      </c>
      <c r="AI4" s="1">
        <v>0</v>
      </c>
      <c r="AJ4" s="1" t="s">
        <v>79</v>
      </c>
    </row>
    <row r="5" spans="1:36" ht="22.95" customHeight="1">
      <c r="A5" s="1" t="s">
        <v>61</v>
      </c>
      <c r="B5" s="1">
        <v>1</v>
      </c>
      <c r="C5" s="1" t="s">
        <v>80</v>
      </c>
      <c r="D5" s="1">
        <v>149</v>
      </c>
      <c r="E5" s="1" t="s">
        <v>63</v>
      </c>
      <c r="F5" s="1" t="s">
        <v>81</v>
      </c>
      <c r="G5" s="1" t="s">
        <v>82</v>
      </c>
      <c r="H5" s="1" t="s">
        <v>83</v>
      </c>
      <c r="I5" s="1" t="s">
        <v>67</v>
      </c>
      <c r="J5" s="1">
        <v>0</v>
      </c>
      <c r="K5" s="1">
        <v>0</v>
      </c>
      <c r="L5" s="1">
        <v>120</v>
      </c>
      <c r="M5" s="1">
        <v>360</v>
      </c>
      <c r="N5" s="1">
        <v>0</v>
      </c>
      <c r="O5" s="1">
        <v>3500000000</v>
      </c>
      <c r="P5" s="1">
        <v>100</v>
      </c>
      <c r="Q5" s="1">
        <v>100.3605998</v>
      </c>
      <c r="R5" s="1">
        <v>10</v>
      </c>
      <c r="S5" s="1">
        <v>200</v>
      </c>
      <c r="T5" s="1">
        <v>100000000</v>
      </c>
      <c r="U5" s="1">
        <v>2</v>
      </c>
      <c r="V5" s="1" t="s">
        <v>68</v>
      </c>
      <c r="W5" s="1">
        <v>1400</v>
      </c>
      <c r="X5" s="1">
        <v>1048576</v>
      </c>
      <c r="Y5" s="1">
        <v>42</v>
      </c>
      <c r="Z5" s="1">
        <v>4</v>
      </c>
      <c r="AA5" s="3">
        <v>203.99951039999999</v>
      </c>
      <c r="AB5" s="3">
        <v>199.99951999999999</v>
      </c>
      <c r="AC5" s="3">
        <v>3.645836139</v>
      </c>
      <c r="AD5" s="3">
        <v>9.8983894000000003E-2</v>
      </c>
      <c r="AE5" s="3">
        <v>0</v>
      </c>
      <c r="AF5" s="1">
        <v>178571</v>
      </c>
      <c r="AG5" s="1">
        <v>178571</v>
      </c>
      <c r="AH5" s="1">
        <v>254999388</v>
      </c>
      <c r="AI5" s="1">
        <v>0</v>
      </c>
      <c r="AJ5" s="1" t="s">
        <v>84</v>
      </c>
    </row>
    <row r="6" spans="1:36" ht="22.95" customHeight="1">
      <c r="A6" s="1" t="s">
        <v>61</v>
      </c>
      <c r="B6" s="1">
        <v>1</v>
      </c>
      <c r="C6" s="1" t="s">
        <v>85</v>
      </c>
      <c r="D6" s="1">
        <v>150</v>
      </c>
      <c r="E6" s="1" t="s">
        <v>63</v>
      </c>
      <c r="F6" s="1" t="s">
        <v>86</v>
      </c>
      <c r="G6" s="1" t="s">
        <v>87</v>
      </c>
      <c r="H6" s="1" t="s">
        <v>88</v>
      </c>
      <c r="I6" s="1" t="s">
        <v>67</v>
      </c>
      <c r="J6" s="1">
        <v>0</v>
      </c>
      <c r="K6" s="1">
        <v>0</v>
      </c>
      <c r="L6" s="1">
        <v>120</v>
      </c>
      <c r="M6" s="1">
        <v>360</v>
      </c>
      <c r="N6" s="1">
        <v>0</v>
      </c>
      <c r="O6" s="1">
        <v>3500000000</v>
      </c>
      <c r="P6" s="1">
        <v>100</v>
      </c>
      <c r="Q6" s="1">
        <v>100.3605998</v>
      </c>
      <c r="R6" s="1">
        <v>10</v>
      </c>
      <c r="S6" s="1">
        <v>200</v>
      </c>
      <c r="T6" s="1">
        <v>100000000</v>
      </c>
      <c r="U6" s="1">
        <v>2</v>
      </c>
      <c r="V6" s="1" t="s">
        <v>68</v>
      </c>
      <c r="W6" s="1">
        <v>1400</v>
      </c>
      <c r="X6" s="1">
        <v>1048576</v>
      </c>
      <c r="Y6" s="1">
        <v>42</v>
      </c>
      <c r="Z6" s="1">
        <v>5</v>
      </c>
      <c r="AA6" s="3">
        <v>203.99951039999999</v>
      </c>
      <c r="AB6" s="3">
        <v>199.99951999999999</v>
      </c>
      <c r="AC6" s="3">
        <v>3.6450311599999998</v>
      </c>
      <c r="AD6" s="3">
        <v>9.8967025E-2</v>
      </c>
      <c r="AE6" s="3">
        <v>0</v>
      </c>
      <c r="AF6" s="1">
        <v>178571</v>
      </c>
      <c r="AG6" s="1">
        <v>178571</v>
      </c>
      <c r="AH6" s="1">
        <v>254999388</v>
      </c>
      <c r="AI6" s="1">
        <v>0</v>
      </c>
      <c r="AJ6" s="1" t="s">
        <v>89</v>
      </c>
    </row>
    <row r="7" spans="1:36" ht="22.95" customHeight="1">
      <c r="A7" s="1" t="s">
        <v>61</v>
      </c>
      <c r="B7" s="1">
        <v>2</v>
      </c>
      <c r="C7" s="1" t="s">
        <v>90</v>
      </c>
      <c r="D7" s="1">
        <v>146</v>
      </c>
      <c r="E7" s="1" t="s">
        <v>63</v>
      </c>
      <c r="F7" s="1" t="s">
        <v>91</v>
      </c>
      <c r="G7" s="1" t="s">
        <v>92</v>
      </c>
      <c r="H7" s="1" t="s">
        <v>93</v>
      </c>
      <c r="I7" s="1" t="s">
        <v>67</v>
      </c>
      <c r="J7" s="1">
        <v>3</v>
      </c>
      <c r="K7" s="1">
        <v>0</v>
      </c>
      <c r="L7" s="1">
        <v>120</v>
      </c>
      <c r="M7" s="1">
        <v>360</v>
      </c>
      <c r="N7" s="1">
        <v>3</v>
      </c>
      <c r="O7" s="1">
        <v>3500000000</v>
      </c>
      <c r="P7" s="1">
        <v>100</v>
      </c>
      <c r="Q7" s="1">
        <v>100.3605998</v>
      </c>
      <c r="R7" s="1">
        <v>10</v>
      </c>
      <c r="S7" s="1">
        <v>200</v>
      </c>
      <c r="T7" s="1">
        <v>100000000</v>
      </c>
      <c r="U7" s="1">
        <v>2</v>
      </c>
      <c r="V7" s="1" t="s">
        <v>68</v>
      </c>
      <c r="W7" s="1">
        <v>1400</v>
      </c>
      <c r="X7" s="1">
        <v>1048576</v>
      </c>
      <c r="Y7" s="1">
        <v>42</v>
      </c>
      <c r="Z7" s="1">
        <v>1</v>
      </c>
      <c r="AA7" s="3">
        <v>203.99951039999999</v>
      </c>
      <c r="AB7" s="3">
        <v>199.99951999999999</v>
      </c>
      <c r="AC7" s="3">
        <v>3.6219662600000002</v>
      </c>
      <c r="AD7" s="3">
        <v>9.9810290999999995E-2</v>
      </c>
      <c r="AE7" s="3">
        <v>0</v>
      </c>
      <c r="AF7" s="1">
        <v>178571</v>
      </c>
      <c r="AG7" s="1">
        <v>178571</v>
      </c>
      <c r="AH7" s="1">
        <v>254999388</v>
      </c>
      <c r="AI7" s="1">
        <v>0</v>
      </c>
      <c r="AJ7" s="1" t="s">
        <v>69</v>
      </c>
    </row>
    <row r="8" spans="1:36" ht="22.95" customHeight="1">
      <c r="A8" s="1" t="s">
        <v>61</v>
      </c>
      <c r="B8" s="1">
        <v>2</v>
      </c>
      <c r="C8" s="1" t="s">
        <v>94</v>
      </c>
      <c r="D8" s="1">
        <v>147</v>
      </c>
      <c r="E8" s="1" t="s">
        <v>63</v>
      </c>
      <c r="F8" s="1" t="s">
        <v>95</v>
      </c>
      <c r="G8" s="1" t="s">
        <v>96</v>
      </c>
      <c r="H8" s="1" t="s">
        <v>97</v>
      </c>
      <c r="I8" s="1" t="s">
        <v>67</v>
      </c>
      <c r="J8" s="1">
        <v>3</v>
      </c>
      <c r="K8" s="1">
        <v>0</v>
      </c>
      <c r="L8" s="1">
        <v>120</v>
      </c>
      <c r="M8" s="1">
        <v>360</v>
      </c>
      <c r="N8" s="1">
        <v>3</v>
      </c>
      <c r="O8" s="1">
        <v>3500000000</v>
      </c>
      <c r="P8" s="1">
        <v>100</v>
      </c>
      <c r="Q8" s="1">
        <v>100.3605998</v>
      </c>
      <c r="R8" s="1">
        <v>10</v>
      </c>
      <c r="S8" s="1">
        <v>200</v>
      </c>
      <c r="T8" s="1">
        <v>100000000</v>
      </c>
      <c r="U8" s="1">
        <v>2</v>
      </c>
      <c r="V8" s="1" t="s">
        <v>68</v>
      </c>
      <c r="W8" s="1">
        <v>1400</v>
      </c>
      <c r="X8" s="1">
        <v>1048576</v>
      </c>
      <c r="Y8" s="1">
        <v>42</v>
      </c>
      <c r="Z8" s="1">
        <v>2</v>
      </c>
      <c r="AA8" s="3">
        <v>203.99951039999999</v>
      </c>
      <c r="AB8" s="3">
        <v>199.99951999999999</v>
      </c>
      <c r="AC8" s="3">
        <v>3.621287546</v>
      </c>
      <c r="AD8" s="3">
        <v>9.9811996E-2</v>
      </c>
      <c r="AE8" s="3">
        <v>0</v>
      </c>
      <c r="AF8" s="1">
        <v>178571</v>
      </c>
      <c r="AG8" s="1">
        <v>178571</v>
      </c>
      <c r="AH8" s="1">
        <v>254999388</v>
      </c>
      <c r="AI8" s="1">
        <v>0</v>
      </c>
      <c r="AJ8" s="1" t="s">
        <v>74</v>
      </c>
    </row>
    <row r="9" spans="1:36" ht="22.95" customHeight="1">
      <c r="A9" s="1" t="s">
        <v>61</v>
      </c>
      <c r="B9" s="1">
        <v>2</v>
      </c>
      <c r="C9" s="1" t="s">
        <v>98</v>
      </c>
      <c r="D9" s="1">
        <v>148</v>
      </c>
      <c r="E9" s="1" t="s">
        <v>63</v>
      </c>
      <c r="F9" s="1" t="s">
        <v>99</v>
      </c>
      <c r="G9" s="1" t="s">
        <v>100</v>
      </c>
      <c r="H9" s="1" t="s">
        <v>101</v>
      </c>
      <c r="I9" s="1" t="s">
        <v>67</v>
      </c>
      <c r="J9" s="1">
        <v>3</v>
      </c>
      <c r="K9" s="1">
        <v>0</v>
      </c>
      <c r="L9" s="1">
        <v>120</v>
      </c>
      <c r="M9" s="1">
        <v>360</v>
      </c>
      <c r="N9" s="1">
        <v>3</v>
      </c>
      <c r="O9" s="1">
        <v>3500000000</v>
      </c>
      <c r="P9" s="1">
        <v>100</v>
      </c>
      <c r="Q9" s="1">
        <v>100.3605998</v>
      </c>
      <c r="R9" s="1">
        <v>10</v>
      </c>
      <c r="S9" s="1">
        <v>200</v>
      </c>
      <c r="T9" s="1">
        <v>100000000</v>
      </c>
      <c r="U9" s="1">
        <v>2</v>
      </c>
      <c r="V9" s="1" t="s">
        <v>68</v>
      </c>
      <c r="W9" s="1">
        <v>1400</v>
      </c>
      <c r="X9" s="1">
        <v>1048576</v>
      </c>
      <c r="Y9" s="1">
        <v>42</v>
      </c>
      <c r="Z9" s="1">
        <v>3</v>
      </c>
      <c r="AA9" s="3">
        <v>203.99951039999999</v>
      </c>
      <c r="AB9" s="3">
        <v>199.99951999999999</v>
      </c>
      <c r="AC9" s="3">
        <v>3.6200966220000002</v>
      </c>
      <c r="AD9" s="3">
        <v>9.9831114999999998E-2</v>
      </c>
      <c r="AE9" s="3">
        <v>0</v>
      </c>
      <c r="AF9" s="1">
        <v>178571</v>
      </c>
      <c r="AG9" s="1">
        <v>178571</v>
      </c>
      <c r="AH9" s="1">
        <v>254999388</v>
      </c>
      <c r="AI9" s="1">
        <v>0</v>
      </c>
      <c r="AJ9" s="1" t="s">
        <v>79</v>
      </c>
    </row>
    <row r="10" spans="1:36" ht="22.95" customHeight="1">
      <c r="A10" s="1" t="s">
        <v>61</v>
      </c>
      <c r="B10" s="1">
        <v>2</v>
      </c>
      <c r="C10" s="1" t="s">
        <v>102</v>
      </c>
      <c r="D10" s="1">
        <v>149</v>
      </c>
      <c r="E10" s="1" t="s">
        <v>63</v>
      </c>
      <c r="F10" s="1" t="s">
        <v>103</v>
      </c>
      <c r="G10" s="1" t="s">
        <v>104</v>
      </c>
      <c r="H10" s="1" t="s">
        <v>105</v>
      </c>
      <c r="I10" s="1" t="s">
        <v>67</v>
      </c>
      <c r="J10" s="1">
        <v>3</v>
      </c>
      <c r="K10" s="1">
        <v>0</v>
      </c>
      <c r="L10" s="1">
        <v>120</v>
      </c>
      <c r="M10" s="1">
        <v>360</v>
      </c>
      <c r="N10" s="1">
        <v>3</v>
      </c>
      <c r="O10" s="1">
        <v>3500000000</v>
      </c>
      <c r="P10" s="1">
        <v>100</v>
      </c>
      <c r="Q10" s="1">
        <v>100.3605998</v>
      </c>
      <c r="R10" s="1">
        <v>10</v>
      </c>
      <c r="S10" s="1">
        <v>200</v>
      </c>
      <c r="T10" s="1">
        <v>100000000</v>
      </c>
      <c r="U10" s="1">
        <v>2</v>
      </c>
      <c r="V10" s="1" t="s">
        <v>68</v>
      </c>
      <c r="W10" s="1">
        <v>1400</v>
      </c>
      <c r="X10" s="1">
        <v>1048576</v>
      </c>
      <c r="Y10" s="1">
        <v>42</v>
      </c>
      <c r="Z10" s="1">
        <v>4</v>
      </c>
      <c r="AA10" s="3">
        <v>203.99951039999999</v>
      </c>
      <c r="AB10" s="3">
        <v>199.99951999999999</v>
      </c>
      <c r="AC10" s="3">
        <v>3.6134746670000002</v>
      </c>
      <c r="AD10" s="3">
        <v>9.9849477000000006E-2</v>
      </c>
      <c r="AE10" s="3">
        <v>0</v>
      </c>
      <c r="AF10" s="1">
        <v>178571</v>
      </c>
      <c r="AG10" s="1">
        <v>178571</v>
      </c>
      <c r="AH10" s="1">
        <v>254999388</v>
      </c>
      <c r="AI10" s="1">
        <v>0</v>
      </c>
      <c r="AJ10" s="1" t="s">
        <v>84</v>
      </c>
    </row>
    <row r="11" spans="1:36" ht="22.95" customHeight="1">
      <c r="A11" s="1" t="s">
        <v>61</v>
      </c>
      <c r="B11" s="1">
        <v>2</v>
      </c>
      <c r="C11" s="1" t="s">
        <v>106</v>
      </c>
      <c r="D11" s="1">
        <v>150</v>
      </c>
      <c r="E11" s="1" t="s">
        <v>63</v>
      </c>
      <c r="F11" s="1" t="s">
        <v>107</v>
      </c>
      <c r="G11" s="1" t="s">
        <v>108</v>
      </c>
      <c r="H11" s="1" t="s">
        <v>109</v>
      </c>
      <c r="I11" s="1" t="s">
        <v>67</v>
      </c>
      <c r="J11" s="1">
        <v>3</v>
      </c>
      <c r="K11" s="1">
        <v>0</v>
      </c>
      <c r="L11" s="1">
        <v>120</v>
      </c>
      <c r="M11" s="1">
        <v>360</v>
      </c>
      <c r="N11" s="1">
        <v>3</v>
      </c>
      <c r="O11" s="1">
        <v>3500000000</v>
      </c>
      <c r="P11" s="1">
        <v>100</v>
      </c>
      <c r="Q11" s="1">
        <v>100.3605998</v>
      </c>
      <c r="R11" s="1">
        <v>10</v>
      </c>
      <c r="S11" s="1">
        <v>200</v>
      </c>
      <c r="T11" s="1">
        <v>100000000</v>
      </c>
      <c r="U11" s="1">
        <v>2</v>
      </c>
      <c r="V11" s="1" t="s">
        <v>68</v>
      </c>
      <c r="W11" s="1">
        <v>1400</v>
      </c>
      <c r="X11" s="1">
        <v>1048576</v>
      </c>
      <c r="Y11" s="1">
        <v>42</v>
      </c>
      <c r="Z11" s="1">
        <v>5</v>
      </c>
      <c r="AA11" s="3">
        <v>203.99951039999999</v>
      </c>
      <c r="AB11" s="3">
        <v>199.99951999999999</v>
      </c>
      <c r="AC11" s="3">
        <v>3.6256669920000002</v>
      </c>
      <c r="AD11" s="3">
        <v>9.9841673000000006E-2</v>
      </c>
      <c r="AE11" s="3">
        <v>0</v>
      </c>
      <c r="AF11" s="1">
        <v>178571</v>
      </c>
      <c r="AG11" s="1">
        <v>178571</v>
      </c>
      <c r="AH11" s="1">
        <v>254999388</v>
      </c>
      <c r="AI11" s="1">
        <v>0</v>
      </c>
      <c r="AJ11" s="1" t="s">
        <v>89</v>
      </c>
    </row>
    <row r="12" spans="1:36" ht="22.95" customHeight="1">
      <c r="A12" s="1" t="s">
        <v>61</v>
      </c>
      <c r="B12" s="1">
        <v>3</v>
      </c>
      <c r="C12" s="1" t="s">
        <v>110</v>
      </c>
      <c r="D12" s="1">
        <v>146</v>
      </c>
      <c r="E12" s="1" t="s">
        <v>63</v>
      </c>
      <c r="F12" s="1" t="s">
        <v>111</v>
      </c>
      <c r="G12" s="1" t="s">
        <v>112</v>
      </c>
      <c r="H12" s="1" t="s">
        <v>113</v>
      </c>
      <c r="I12" s="1" t="s">
        <v>67</v>
      </c>
      <c r="J12" s="1">
        <v>6</v>
      </c>
      <c r="K12" s="1">
        <v>0</v>
      </c>
      <c r="L12" s="1">
        <v>120</v>
      </c>
      <c r="M12" s="1">
        <v>360</v>
      </c>
      <c r="N12" s="1">
        <v>6</v>
      </c>
      <c r="O12" s="1">
        <v>3500000000</v>
      </c>
      <c r="P12" s="1">
        <v>100</v>
      </c>
      <c r="Q12" s="1">
        <v>100.3605998</v>
      </c>
      <c r="R12" s="1">
        <v>10</v>
      </c>
      <c r="S12" s="1">
        <v>200</v>
      </c>
      <c r="T12" s="1">
        <v>100000000</v>
      </c>
      <c r="U12" s="1">
        <v>2</v>
      </c>
      <c r="V12" s="1" t="s">
        <v>68</v>
      </c>
      <c r="W12" s="1">
        <v>1400</v>
      </c>
      <c r="X12" s="1">
        <v>1048576</v>
      </c>
      <c r="Y12" s="1">
        <v>42</v>
      </c>
      <c r="Z12" s="1">
        <v>1</v>
      </c>
      <c r="AA12" s="3">
        <v>203.99951039999999</v>
      </c>
      <c r="AB12" s="3">
        <v>199.99951999999999</v>
      </c>
      <c r="AC12" s="3">
        <v>3.6342100400000001</v>
      </c>
      <c r="AD12" s="3">
        <v>0.10023449600000001</v>
      </c>
      <c r="AE12" s="3">
        <v>0</v>
      </c>
      <c r="AF12" s="1">
        <v>178571</v>
      </c>
      <c r="AG12" s="1">
        <v>178571</v>
      </c>
      <c r="AH12" s="1">
        <v>254999388</v>
      </c>
      <c r="AI12" s="1">
        <v>0</v>
      </c>
      <c r="AJ12" s="1" t="s">
        <v>69</v>
      </c>
    </row>
    <row r="13" spans="1:36" ht="22.95" customHeight="1">
      <c r="A13" s="1" t="s">
        <v>61</v>
      </c>
      <c r="B13" s="1">
        <v>3</v>
      </c>
      <c r="C13" s="1" t="s">
        <v>114</v>
      </c>
      <c r="D13" s="1">
        <v>147</v>
      </c>
      <c r="E13" s="1" t="s">
        <v>63</v>
      </c>
      <c r="F13" s="1" t="s">
        <v>115</v>
      </c>
      <c r="G13" s="1" t="s">
        <v>116</v>
      </c>
      <c r="H13" s="1" t="s">
        <v>117</v>
      </c>
      <c r="I13" s="1" t="s">
        <v>67</v>
      </c>
      <c r="J13" s="1">
        <v>6</v>
      </c>
      <c r="K13" s="1">
        <v>0</v>
      </c>
      <c r="L13" s="1">
        <v>120</v>
      </c>
      <c r="M13" s="1">
        <v>360</v>
      </c>
      <c r="N13" s="1">
        <v>6</v>
      </c>
      <c r="O13" s="1">
        <v>3500000000</v>
      </c>
      <c r="P13" s="1">
        <v>100</v>
      </c>
      <c r="Q13" s="1">
        <v>100.3605998</v>
      </c>
      <c r="R13" s="1">
        <v>10</v>
      </c>
      <c r="S13" s="1">
        <v>200</v>
      </c>
      <c r="T13" s="1">
        <v>100000000</v>
      </c>
      <c r="U13" s="1">
        <v>2</v>
      </c>
      <c r="V13" s="1" t="s">
        <v>68</v>
      </c>
      <c r="W13" s="1">
        <v>1400</v>
      </c>
      <c r="X13" s="1">
        <v>1048576</v>
      </c>
      <c r="Y13" s="1">
        <v>42</v>
      </c>
      <c r="Z13" s="1">
        <v>2</v>
      </c>
      <c r="AA13" s="3">
        <v>203.99951039999999</v>
      </c>
      <c r="AB13" s="3">
        <v>199.99951999999999</v>
      </c>
      <c r="AC13" s="3">
        <v>3.6404067950000001</v>
      </c>
      <c r="AD13" s="3">
        <v>0.100346818</v>
      </c>
      <c r="AE13" s="3">
        <v>0</v>
      </c>
      <c r="AF13" s="1">
        <v>178571</v>
      </c>
      <c r="AG13" s="1">
        <v>178571</v>
      </c>
      <c r="AH13" s="1">
        <v>254999388</v>
      </c>
      <c r="AI13" s="1">
        <v>0</v>
      </c>
      <c r="AJ13" s="1" t="s">
        <v>74</v>
      </c>
    </row>
    <row r="14" spans="1:36" ht="22.95" customHeight="1">
      <c r="A14" s="1" t="s">
        <v>61</v>
      </c>
      <c r="B14" s="1">
        <v>3</v>
      </c>
      <c r="C14" s="1" t="s">
        <v>118</v>
      </c>
      <c r="D14" s="1">
        <v>148</v>
      </c>
      <c r="E14" s="1" t="s">
        <v>63</v>
      </c>
      <c r="F14" s="1" t="s">
        <v>119</v>
      </c>
      <c r="G14" s="1" t="s">
        <v>120</v>
      </c>
      <c r="H14" s="1" t="s">
        <v>121</v>
      </c>
      <c r="I14" s="1" t="s">
        <v>67</v>
      </c>
      <c r="J14" s="1">
        <v>6</v>
      </c>
      <c r="K14" s="1">
        <v>0</v>
      </c>
      <c r="L14" s="1">
        <v>120</v>
      </c>
      <c r="M14" s="1">
        <v>360</v>
      </c>
      <c r="N14" s="1">
        <v>6</v>
      </c>
      <c r="O14" s="1">
        <v>3500000000</v>
      </c>
      <c r="P14" s="1">
        <v>100</v>
      </c>
      <c r="Q14" s="1">
        <v>100.3605998</v>
      </c>
      <c r="R14" s="1">
        <v>10</v>
      </c>
      <c r="S14" s="1">
        <v>200</v>
      </c>
      <c r="T14" s="1">
        <v>100000000</v>
      </c>
      <c r="U14" s="1">
        <v>2</v>
      </c>
      <c r="V14" s="1" t="s">
        <v>68</v>
      </c>
      <c r="W14" s="1">
        <v>1400</v>
      </c>
      <c r="X14" s="1">
        <v>1048576</v>
      </c>
      <c r="Y14" s="1">
        <v>42</v>
      </c>
      <c r="Z14" s="1">
        <v>3</v>
      </c>
      <c r="AA14" s="3">
        <v>203.99951039999999</v>
      </c>
      <c r="AB14" s="3">
        <v>199.99951999999999</v>
      </c>
      <c r="AC14" s="3">
        <v>3.6477670390000001</v>
      </c>
      <c r="AD14" s="3">
        <v>0.100311964</v>
      </c>
      <c r="AE14" s="3">
        <v>0</v>
      </c>
      <c r="AF14" s="1">
        <v>178571</v>
      </c>
      <c r="AG14" s="1">
        <v>178571</v>
      </c>
      <c r="AH14" s="1">
        <v>254999388</v>
      </c>
      <c r="AI14" s="1">
        <v>0</v>
      </c>
      <c r="AJ14" s="1" t="s">
        <v>79</v>
      </c>
    </row>
    <row r="15" spans="1:36" ht="22.95" customHeight="1">
      <c r="A15" s="1" t="s">
        <v>61</v>
      </c>
      <c r="B15" s="1">
        <v>3</v>
      </c>
      <c r="C15" s="1" t="s">
        <v>122</v>
      </c>
      <c r="D15" s="1">
        <v>149</v>
      </c>
      <c r="E15" s="1" t="s">
        <v>63</v>
      </c>
      <c r="F15" s="1" t="s">
        <v>123</v>
      </c>
      <c r="G15" s="1" t="s">
        <v>124</v>
      </c>
      <c r="H15" s="1" t="s">
        <v>125</v>
      </c>
      <c r="I15" s="1" t="s">
        <v>67</v>
      </c>
      <c r="J15" s="1">
        <v>6</v>
      </c>
      <c r="K15" s="1">
        <v>0</v>
      </c>
      <c r="L15" s="1">
        <v>120</v>
      </c>
      <c r="M15" s="1">
        <v>360</v>
      </c>
      <c r="N15" s="1">
        <v>6</v>
      </c>
      <c r="O15" s="1">
        <v>3500000000</v>
      </c>
      <c r="P15" s="1">
        <v>100</v>
      </c>
      <c r="Q15" s="1">
        <v>100.3605998</v>
      </c>
      <c r="R15" s="1">
        <v>10</v>
      </c>
      <c r="S15" s="1">
        <v>200</v>
      </c>
      <c r="T15" s="1">
        <v>100000000</v>
      </c>
      <c r="U15" s="1">
        <v>2</v>
      </c>
      <c r="V15" s="1" t="s">
        <v>68</v>
      </c>
      <c r="W15" s="1">
        <v>1400</v>
      </c>
      <c r="X15" s="1">
        <v>1048576</v>
      </c>
      <c r="Y15" s="1">
        <v>42</v>
      </c>
      <c r="Z15" s="1">
        <v>4</v>
      </c>
      <c r="AA15" s="3">
        <v>203.99951039999999</v>
      </c>
      <c r="AB15" s="3">
        <v>199.99951999999999</v>
      </c>
      <c r="AC15" s="3">
        <v>3.638952846</v>
      </c>
      <c r="AD15" s="3">
        <v>0.100294033</v>
      </c>
      <c r="AE15" s="3">
        <v>0</v>
      </c>
      <c r="AF15" s="1">
        <v>178571</v>
      </c>
      <c r="AG15" s="1">
        <v>178571</v>
      </c>
      <c r="AH15" s="1">
        <v>254999388</v>
      </c>
      <c r="AI15" s="1">
        <v>0</v>
      </c>
      <c r="AJ15" s="1" t="s">
        <v>84</v>
      </c>
    </row>
    <row r="16" spans="1:36" ht="22.95" customHeight="1">
      <c r="A16" s="1" t="s">
        <v>61</v>
      </c>
      <c r="B16" s="1">
        <v>3</v>
      </c>
      <c r="C16" s="1" t="s">
        <v>126</v>
      </c>
      <c r="D16" s="1">
        <v>150</v>
      </c>
      <c r="E16" s="1" t="s">
        <v>63</v>
      </c>
      <c r="F16" s="1" t="s">
        <v>127</v>
      </c>
      <c r="G16" s="1" t="s">
        <v>128</v>
      </c>
      <c r="H16" s="1" t="s">
        <v>129</v>
      </c>
      <c r="I16" s="1" t="s">
        <v>67</v>
      </c>
      <c r="J16" s="1">
        <v>6</v>
      </c>
      <c r="K16" s="1">
        <v>0</v>
      </c>
      <c r="L16" s="1">
        <v>120</v>
      </c>
      <c r="M16" s="1">
        <v>360</v>
      </c>
      <c r="N16" s="1">
        <v>6</v>
      </c>
      <c r="O16" s="1">
        <v>3500000000</v>
      </c>
      <c r="P16" s="1">
        <v>100</v>
      </c>
      <c r="Q16" s="1">
        <v>100.3605998</v>
      </c>
      <c r="R16" s="1">
        <v>10</v>
      </c>
      <c r="S16" s="1">
        <v>200</v>
      </c>
      <c r="T16" s="1">
        <v>100000000</v>
      </c>
      <c r="U16" s="1">
        <v>2</v>
      </c>
      <c r="V16" s="1" t="s">
        <v>68</v>
      </c>
      <c r="W16" s="1">
        <v>1400</v>
      </c>
      <c r="X16" s="1">
        <v>1048576</v>
      </c>
      <c r="Y16" s="1">
        <v>42</v>
      </c>
      <c r="Z16" s="1">
        <v>5</v>
      </c>
      <c r="AA16" s="3">
        <v>203.99951039999999</v>
      </c>
      <c r="AB16" s="3">
        <v>199.99951999999999</v>
      </c>
      <c r="AC16" s="3">
        <v>3.6410489269999999</v>
      </c>
      <c r="AD16" s="3">
        <v>0.100242585</v>
      </c>
      <c r="AE16" s="3">
        <v>0</v>
      </c>
      <c r="AF16" s="1">
        <v>178571</v>
      </c>
      <c r="AG16" s="1">
        <v>178571</v>
      </c>
      <c r="AH16" s="1">
        <v>254999388</v>
      </c>
      <c r="AI16" s="1">
        <v>0</v>
      </c>
      <c r="AJ16" s="1" t="s">
        <v>89</v>
      </c>
    </row>
    <row r="17" spans="1:36" ht="22.95" customHeight="1">
      <c r="A17" s="1" t="s">
        <v>61</v>
      </c>
      <c r="B17" s="1">
        <v>4</v>
      </c>
      <c r="C17" s="1" t="s">
        <v>130</v>
      </c>
      <c r="D17" s="1">
        <v>146</v>
      </c>
      <c r="E17" s="1" t="s">
        <v>63</v>
      </c>
      <c r="F17" s="1" t="s">
        <v>131</v>
      </c>
      <c r="G17" s="1" t="s">
        <v>132</v>
      </c>
      <c r="H17" s="1" t="s">
        <v>133</v>
      </c>
      <c r="I17" s="1" t="s">
        <v>67</v>
      </c>
      <c r="J17" s="1">
        <v>9</v>
      </c>
      <c r="K17" s="1">
        <v>0</v>
      </c>
      <c r="L17" s="1">
        <v>120</v>
      </c>
      <c r="M17" s="1">
        <v>360</v>
      </c>
      <c r="N17" s="1">
        <v>9</v>
      </c>
      <c r="O17" s="1">
        <v>3500000000</v>
      </c>
      <c r="P17" s="1">
        <v>100</v>
      </c>
      <c r="Q17" s="1">
        <v>100.3605998</v>
      </c>
      <c r="R17" s="1">
        <v>10</v>
      </c>
      <c r="S17" s="1">
        <v>200</v>
      </c>
      <c r="T17" s="1">
        <v>100000000</v>
      </c>
      <c r="U17" s="1">
        <v>2</v>
      </c>
      <c r="V17" s="1" t="s">
        <v>68</v>
      </c>
      <c r="W17" s="1">
        <v>1400</v>
      </c>
      <c r="X17" s="1">
        <v>1048576</v>
      </c>
      <c r="Y17" s="1">
        <v>42</v>
      </c>
      <c r="Z17" s="1">
        <v>1</v>
      </c>
      <c r="AA17" s="3">
        <v>203.99951039999999</v>
      </c>
      <c r="AB17" s="3">
        <v>199.99951999999999</v>
      </c>
      <c r="AC17" s="3">
        <v>3.6342100400000001</v>
      </c>
      <c r="AD17" s="3">
        <v>0.10023449600000001</v>
      </c>
      <c r="AE17" s="3">
        <v>0</v>
      </c>
      <c r="AF17" s="1">
        <v>178571</v>
      </c>
      <c r="AG17" s="1">
        <v>178571</v>
      </c>
      <c r="AH17" s="1">
        <v>254999388</v>
      </c>
      <c r="AI17" s="1">
        <v>0</v>
      </c>
      <c r="AJ17" s="1" t="s">
        <v>69</v>
      </c>
    </row>
    <row r="18" spans="1:36" ht="22.95" customHeight="1">
      <c r="A18" s="1" t="s">
        <v>61</v>
      </c>
      <c r="B18" s="1">
        <v>4</v>
      </c>
      <c r="C18" s="1" t="s">
        <v>134</v>
      </c>
      <c r="D18" s="1">
        <v>147</v>
      </c>
      <c r="E18" s="1" t="s">
        <v>63</v>
      </c>
      <c r="F18" s="1" t="s">
        <v>135</v>
      </c>
      <c r="G18" s="1" t="s">
        <v>136</v>
      </c>
      <c r="H18" s="1" t="s">
        <v>137</v>
      </c>
      <c r="I18" s="1" t="s">
        <v>67</v>
      </c>
      <c r="J18" s="1">
        <v>9</v>
      </c>
      <c r="K18" s="1">
        <v>0</v>
      </c>
      <c r="L18" s="1">
        <v>120</v>
      </c>
      <c r="M18" s="1">
        <v>360</v>
      </c>
      <c r="N18" s="1">
        <v>9</v>
      </c>
      <c r="O18" s="1">
        <v>3500000000</v>
      </c>
      <c r="P18" s="1">
        <v>100</v>
      </c>
      <c r="Q18" s="1">
        <v>100.3605998</v>
      </c>
      <c r="R18" s="1">
        <v>10</v>
      </c>
      <c r="S18" s="1">
        <v>200</v>
      </c>
      <c r="T18" s="1">
        <v>100000000</v>
      </c>
      <c r="U18" s="1">
        <v>2</v>
      </c>
      <c r="V18" s="1" t="s">
        <v>68</v>
      </c>
      <c r="W18" s="1">
        <v>1400</v>
      </c>
      <c r="X18" s="1">
        <v>1048576</v>
      </c>
      <c r="Y18" s="1">
        <v>42</v>
      </c>
      <c r="Z18" s="1">
        <v>2</v>
      </c>
      <c r="AA18" s="3">
        <v>203.99951039999999</v>
      </c>
      <c r="AB18" s="3">
        <v>199.99951999999999</v>
      </c>
      <c r="AC18" s="3">
        <v>3.6404067950000001</v>
      </c>
      <c r="AD18" s="3">
        <v>0.100346818</v>
      </c>
      <c r="AE18" s="3">
        <v>0</v>
      </c>
      <c r="AF18" s="1">
        <v>178571</v>
      </c>
      <c r="AG18" s="1">
        <v>178571</v>
      </c>
      <c r="AH18" s="1">
        <v>254999388</v>
      </c>
      <c r="AI18" s="1">
        <v>0</v>
      </c>
      <c r="AJ18" s="1" t="s">
        <v>74</v>
      </c>
    </row>
    <row r="19" spans="1:36" ht="22.95" customHeight="1">
      <c r="A19" s="1" t="s">
        <v>61</v>
      </c>
      <c r="B19" s="1">
        <v>4</v>
      </c>
      <c r="C19" s="1" t="s">
        <v>138</v>
      </c>
      <c r="D19" s="1">
        <v>148</v>
      </c>
      <c r="E19" s="1" t="s">
        <v>63</v>
      </c>
      <c r="F19" s="1" t="s">
        <v>139</v>
      </c>
      <c r="G19" s="1" t="s">
        <v>140</v>
      </c>
      <c r="H19" s="1" t="s">
        <v>141</v>
      </c>
      <c r="I19" s="1" t="s">
        <v>67</v>
      </c>
      <c r="J19" s="1">
        <v>9</v>
      </c>
      <c r="K19" s="1">
        <v>0</v>
      </c>
      <c r="L19" s="1">
        <v>120</v>
      </c>
      <c r="M19" s="1">
        <v>360</v>
      </c>
      <c r="N19" s="1">
        <v>9</v>
      </c>
      <c r="O19" s="1">
        <v>3500000000</v>
      </c>
      <c r="P19" s="1">
        <v>100</v>
      </c>
      <c r="Q19" s="1">
        <v>100.3605998</v>
      </c>
      <c r="R19" s="1">
        <v>10</v>
      </c>
      <c r="S19" s="1">
        <v>200</v>
      </c>
      <c r="T19" s="1">
        <v>100000000</v>
      </c>
      <c r="U19" s="1">
        <v>2</v>
      </c>
      <c r="V19" s="1" t="s">
        <v>68</v>
      </c>
      <c r="W19" s="1">
        <v>1400</v>
      </c>
      <c r="X19" s="1">
        <v>1048576</v>
      </c>
      <c r="Y19" s="1">
        <v>42</v>
      </c>
      <c r="Z19" s="1">
        <v>3</v>
      </c>
      <c r="AA19" s="3">
        <v>203.99951039999999</v>
      </c>
      <c r="AB19" s="3">
        <v>199.99951999999999</v>
      </c>
      <c r="AC19" s="3">
        <v>3.6477670390000001</v>
      </c>
      <c r="AD19" s="3">
        <v>0.100311964</v>
      </c>
      <c r="AE19" s="3">
        <v>0</v>
      </c>
      <c r="AF19" s="1">
        <v>178571</v>
      </c>
      <c r="AG19" s="1">
        <v>178571</v>
      </c>
      <c r="AH19" s="1">
        <v>254999388</v>
      </c>
      <c r="AI19" s="1">
        <v>0</v>
      </c>
      <c r="AJ19" s="1" t="s">
        <v>79</v>
      </c>
    </row>
    <row r="20" spans="1:36" ht="22.95" customHeight="1">
      <c r="A20" s="1" t="s">
        <v>61</v>
      </c>
      <c r="B20" s="1">
        <v>4</v>
      </c>
      <c r="C20" s="1" t="s">
        <v>142</v>
      </c>
      <c r="D20" s="1">
        <v>149</v>
      </c>
      <c r="E20" s="1" t="s">
        <v>63</v>
      </c>
      <c r="F20" s="1" t="s">
        <v>143</v>
      </c>
      <c r="G20" s="1" t="s">
        <v>144</v>
      </c>
      <c r="H20" s="1" t="s">
        <v>145</v>
      </c>
      <c r="I20" s="1" t="s">
        <v>67</v>
      </c>
      <c r="J20" s="1">
        <v>9</v>
      </c>
      <c r="K20" s="1">
        <v>0</v>
      </c>
      <c r="L20" s="1">
        <v>120</v>
      </c>
      <c r="M20" s="1">
        <v>360</v>
      </c>
      <c r="N20" s="1">
        <v>9</v>
      </c>
      <c r="O20" s="1">
        <v>3500000000</v>
      </c>
      <c r="P20" s="1">
        <v>100</v>
      </c>
      <c r="Q20" s="1">
        <v>100.3605998</v>
      </c>
      <c r="R20" s="1">
        <v>10</v>
      </c>
      <c r="S20" s="1">
        <v>200</v>
      </c>
      <c r="T20" s="1">
        <v>100000000</v>
      </c>
      <c r="U20" s="1">
        <v>2</v>
      </c>
      <c r="V20" s="1" t="s">
        <v>68</v>
      </c>
      <c r="W20" s="1">
        <v>1400</v>
      </c>
      <c r="X20" s="1">
        <v>1048576</v>
      </c>
      <c r="Y20" s="1">
        <v>42</v>
      </c>
      <c r="Z20" s="1">
        <v>4</v>
      </c>
      <c r="AA20" s="3">
        <v>203.99951039999999</v>
      </c>
      <c r="AB20" s="3">
        <v>199.99951999999999</v>
      </c>
      <c r="AC20" s="3">
        <v>3.638952846</v>
      </c>
      <c r="AD20" s="3">
        <v>0.100294033</v>
      </c>
      <c r="AE20" s="3">
        <v>0</v>
      </c>
      <c r="AF20" s="1">
        <v>178571</v>
      </c>
      <c r="AG20" s="1">
        <v>178571</v>
      </c>
      <c r="AH20" s="1">
        <v>254999388</v>
      </c>
      <c r="AI20" s="1">
        <v>0</v>
      </c>
      <c r="AJ20" s="1" t="s">
        <v>84</v>
      </c>
    </row>
    <row r="21" spans="1:36" ht="22.95" customHeight="1">
      <c r="A21" s="1" t="s">
        <v>61</v>
      </c>
      <c r="B21" s="1">
        <v>4</v>
      </c>
      <c r="C21" s="1" t="s">
        <v>146</v>
      </c>
      <c r="D21" s="1">
        <v>150</v>
      </c>
      <c r="E21" s="1" t="s">
        <v>63</v>
      </c>
      <c r="F21" s="1" t="s">
        <v>147</v>
      </c>
      <c r="G21" s="1" t="s">
        <v>148</v>
      </c>
      <c r="H21" s="1" t="s">
        <v>149</v>
      </c>
      <c r="I21" s="1" t="s">
        <v>67</v>
      </c>
      <c r="J21" s="1">
        <v>9</v>
      </c>
      <c r="K21" s="1">
        <v>0</v>
      </c>
      <c r="L21" s="1">
        <v>120</v>
      </c>
      <c r="M21" s="1">
        <v>360</v>
      </c>
      <c r="N21" s="1">
        <v>9</v>
      </c>
      <c r="O21" s="1">
        <v>3500000000</v>
      </c>
      <c r="P21" s="1">
        <v>100</v>
      </c>
      <c r="Q21" s="1">
        <v>100.3605998</v>
      </c>
      <c r="R21" s="1">
        <v>10</v>
      </c>
      <c r="S21" s="1">
        <v>200</v>
      </c>
      <c r="T21" s="1">
        <v>100000000</v>
      </c>
      <c r="U21" s="1">
        <v>2</v>
      </c>
      <c r="V21" s="1" t="s">
        <v>68</v>
      </c>
      <c r="W21" s="1">
        <v>1400</v>
      </c>
      <c r="X21" s="1">
        <v>1048576</v>
      </c>
      <c r="Y21" s="1">
        <v>42</v>
      </c>
      <c r="Z21" s="1">
        <v>5</v>
      </c>
      <c r="AA21" s="3">
        <v>203.99951039999999</v>
      </c>
      <c r="AB21" s="3">
        <v>199.99951999999999</v>
      </c>
      <c r="AC21" s="3">
        <v>3.6410489269999999</v>
      </c>
      <c r="AD21" s="3">
        <v>0.100242585</v>
      </c>
      <c r="AE21" s="3">
        <v>0</v>
      </c>
      <c r="AF21" s="1">
        <v>178571</v>
      </c>
      <c r="AG21" s="1">
        <v>178571</v>
      </c>
      <c r="AH21" s="1">
        <v>254999388</v>
      </c>
      <c r="AI21" s="1">
        <v>0</v>
      </c>
      <c r="AJ21" s="1" t="s">
        <v>89</v>
      </c>
    </row>
    <row r="22" spans="1:36" ht="22.95" customHeight="1">
      <c r="A22" s="1" t="s">
        <v>61</v>
      </c>
      <c r="B22" s="1">
        <v>5</v>
      </c>
      <c r="C22" s="1" t="s">
        <v>150</v>
      </c>
      <c r="D22" s="1">
        <v>146</v>
      </c>
      <c r="E22" s="1" t="s">
        <v>63</v>
      </c>
      <c r="F22" s="1" t="s">
        <v>151</v>
      </c>
      <c r="G22" s="1" t="s">
        <v>152</v>
      </c>
      <c r="H22" s="1" t="s">
        <v>153</v>
      </c>
      <c r="I22" s="1" t="s">
        <v>67</v>
      </c>
      <c r="J22" s="1">
        <v>12</v>
      </c>
      <c r="K22" s="1">
        <v>0</v>
      </c>
      <c r="L22" s="1">
        <v>120</v>
      </c>
      <c r="M22" s="1">
        <v>360</v>
      </c>
      <c r="N22" s="1">
        <v>12</v>
      </c>
      <c r="O22" s="1">
        <v>3500000000</v>
      </c>
      <c r="P22" s="1">
        <v>100</v>
      </c>
      <c r="Q22" s="1">
        <v>100.3605998</v>
      </c>
      <c r="R22" s="1">
        <v>10</v>
      </c>
      <c r="S22" s="1">
        <v>200</v>
      </c>
      <c r="T22" s="1">
        <v>100000000</v>
      </c>
      <c r="U22" s="1">
        <v>2</v>
      </c>
      <c r="V22" s="1" t="s">
        <v>68</v>
      </c>
      <c r="W22" s="1">
        <v>1400</v>
      </c>
      <c r="X22" s="1">
        <v>1048576</v>
      </c>
      <c r="Y22" s="1">
        <v>42</v>
      </c>
      <c r="Z22" s="1">
        <v>1</v>
      </c>
      <c r="AA22" s="3">
        <v>203.99951039999999</v>
      </c>
      <c r="AB22" s="3">
        <v>199.99951999999999</v>
      </c>
      <c r="AC22" s="3">
        <v>3.6342100400000001</v>
      </c>
      <c r="AD22" s="3">
        <v>0.10023449600000001</v>
      </c>
      <c r="AE22" s="3">
        <v>0</v>
      </c>
      <c r="AF22" s="1">
        <v>178571</v>
      </c>
      <c r="AG22" s="1">
        <v>178571</v>
      </c>
      <c r="AH22" s="1">
        <v>254999388</v>
      </c>
      <c r="AI22" s="1">
        <v>0</v>
      </c>
      <c r="AJ22" s="1" t="s">
        <v>69</v>
      </c>
    </row>
    <row r="23" spans="1:36" ht="22.95" customHeight="1">
      <c r="A23" s="1" t="s">
        <v>61</v>
      </c>
      <c r="B23" s="1">
        <v>5</v>
      </c>
      <c r="C23" s="1" t="s">
        <v>154</v>
      </c>
      <c r="D23" s="1">
        <v>147</v>
      </c>
      <c r="E23" s="1" t="s">
        <v>63</v>
      </c>
      <c r="F23" s="1" t="s">
        <v>155</v>
      </c>
      <c r="G23" s="1" t="s">
        <v>156</v>
      </c>
      <c r="H23" s="1" t="s">
        <v>157</v>
      </c>
      <c r="I23" s="1" t="s">
        <v>67</v>
      </c>
      <c r="J23" s="1">
        <v>12</v>
      </c>
      <c r="K23" s="1">
        <v>0</v>
      </c>
      <c r="L23" s="1">
        <v>120</v>
      </c>
      <c r="M23" s="1">
        <v>360</v>
      </c>
      <c r="N23" s="1">
        <v>12</v>
      </c>
      <c r="O23" s="1">
        <v>3500000000</v>
      </c>
      <c r="P23" s="1">
        <v>100</v>
      </c>
      <c r="Q23" s="1">
        <v>100.3605998</v>
      </c>
      <c r="R23" s="1">
        <v>10</v>
      </c>
      <c r="S23" s="1">
        <v>200</v>
      </c>
      <c r="T23" s="1">
        <v>100000000</v>
      </c>
      <c r="U23" s="1">
        <v>2</v>
      </c>
      <c r="V23" s="1" t="s">
        <v>68</v>
      </c>
      <c r="W23" s="1">
        <v>1400</v>
      </c>
      <c r="X23" s="1">
        <v>1048576</v>
      </c>
      <c r="Y23" s="1">
        <v>42</v>
      </c>
      <c r="Z23" s="1">
        <v>2</v>
      </c>
      <c r="AA23" s="3">
        <v>203.99951039999999</v>
      </c>
      <c r="AB23" s="3">
        <v>199.99951999999999</v>
      </c>
      <c r="AC23" s="3">
        <v>3.6404067950000001</v>
      </c>
      <c r="AD23" s="3">
        <v>0.100346818</v>
      </c>
      <c r="AE23" s="3">
        <v>0</v>
      </c>
      <c r="AF23" s="1">
        <v>178571</v>
      </c>
      <c r="AG23" s="1">
        <v>178571</v>
      </c>
      <c r="AH23" s="1">
        <v>254999388</v>
      </c>
      <c r="AI23" s="1">
        <v>0</v>
      </c>
      <c r="AJ23" s="1" t="s">
        <v>74</v>
      </c>
    </row>
    <row r="24" spans="1:36" ht="22.95" customHeight="1">
      <c r="A24" s="1" t="s">
        <v>61</v>
      </c>
      <c r="B24" s="1">
        <v>5</v>
      </c>
      <c r="C24" s="1" t="s">
        <v>158</v>
      </c>
      <c r="D24" s="1">
        <v>148</v>
      </c>
      <c r="E24" s="1" t="s">
        <v>63</v>
      </c>
      <c r="F24" s="1" t="s">
        <v>159</v>
      </c>
      <c r="G24" s="1" t="s">
        <v>160</v>
      </c>
      <c r="H24" s="1" t="s">
        <v>161</v>
      </c>
      <c r="I24" s="1" t="s">
        <v>67</v>
      </c>
      <c r="J24" s="1">
        <v>12</v>
      </c>
      <c r="K24" s="1">
        <v>0</v>
      </c>
      <c r="L24" s="1">
        <v>120</v>
      </c>
      <c r="M24" s="1">
        <v>360</v>
      </c>
      <c r="N24" s="1">
        <v>12</v>
      </c>
      <c r="O24" s="1">
        <v>3500000000</v>
      </c>
      <c r="P24" s="1">
        <v>100</v>
      </c>
      <c r="Q24" s="1">
        <v>100.3605998</v>
      </c>
      <c r="R24" s="1">
        <v>10</v>
      </c>
      <c r="S24" s="1">
        <v>200</v>
      </c>
      <c r="T24" s="1">
        <v>100000000</v>
      </c>
      <c r="U24" s="1">
        <v>2</v>
      </c>
      <c r="V24" s="1" t="s">
        <v>68</v>
      </c>
      <c r="W24" s="1">
        <v>1400</v>
      </c>
      <c r="X24" s="1">
        <v>1048576</v>
      </c>
      <c r="Y24" s="1">
        <v>42</v>
      </c>
      <c r="Z24" s="1">
        <v>3</v>
      </c>
      <c r="AA24" s="3">
        <v>203.99951039999999</v>
      </c>
      <c r="AB24" s="3">
        <v>199.99951999999999</v>
      </c>
      <c r="AC24" s="3">
        <v>3.6477670390000001</v>
      </c>
      <c r="AD24" s="3">
        <v>0.100311964</v>
      </c>
      <c r="AE24" s="3">
        <v>0</v>
      </c>
      <c r="AF24" s="1">
        <v>178571</v>
      </c>
      <c r="AG24" s="1">
        <v>178571</v>
      </c>
      <c r="AH24" s="1">
        <v>254999388</v>
      </c>
      <c r="AI24" s="1">
        <v>0</v>
      </c>
      <c r="AJ24" s="1" t="s">
        <v>79</v>
      </c>
    </row>
    <row r="25" spans="1:36" ht="22.95" customHeight="1">
      <c r="A25" s="1" t="s">
        <v>61</v>
      </c>
      <c r="B25" s="1">
        <v>5</v>
      </c>
      <c r="C25" s="1" t="s">
        <v>162</v>
      </c>
      <c r="D25" s="1">
        <v>149</v>
      </c>
      <c r="E25" s="1" t="s">
        <v>63</v>
      </c>
      <c r="F25" s="1" t="s">
        <v>163</v>
      </c>
      <c r="G25" s="1" t="s">
        <v>164</v>
      </c>
      <c r="H25" s="1" t="s">
        <v>165</v>
      </c>
      <c r="I25" s="1" t="s">
        <v>67</v>
      </c>
      <c r="J25" s="1">
        <v>12</v>
      </c>
      <c r="K25" s="1">
        <v>0</v>
      </c>
      <c r="L25" s="1">
        <v>120</v>
      </c>
      <c r="M25" s="1">
        <v>360</v>
      </c>
      <c r="N25" s="1">
        <v>12</v>
      </c>
      <c r="O25" s="1">
        <v>3500000000</v>
      </c>
      <c r="P25" s="1">
        <v>100</v>
      </c>
      <c r="Q25" s="1">
        <v>100.3605998</v>
      </c>
      <c r="R25" s="1">
        <v>10</v>
      </c>
      <c r="S25" s="1">
        <v>200</v>
      </c>
      <c r="T25" s="1">
        <v>100000000</v>
      </c>
      <c r="U25" s="1">
        <v>2</v>
      </c>
      <c r="V25" s="1" t="s">
        <v>68</v>
      </c>
      <c r="W25" s="1">
        <v>1400</v>
      </c>
      <c r="X25" s="1">
        <v>1048576</v>
      </c>
      <c r="Y25" s="1">
        <v>42</v>
      </c>
      <c r="Z25" s="1">
        <v>4</v>
      </c>
      <c r="AA25" s="3">
        <v>203.99951039999999</v>
      </c>
      <c r="AB25" s="3">
        <v>199.99951999999999</v>
      </c>
      <c r="AC25" s="3">
        <v>3.638952846</v>
      </c>
      <c r="AD25" s="3">
        <v>0.100294033</v>
      </c>
      <c r="AE25" s="3">
        <v>0</v>
      </c>
      <c r="AF25" s="1">
        <v>178571</v>
      </c>
      <c r="AG25" s="1">
        <v>178571</v>
      </c>
      <c r="AH25" s="1">
        <v>254999388</v>
      </c>
      <c r="AI25" s="1">
        <v>0</v>
      </c>
      <c r="AJ25" s="1" t="s">
        <v>84</v>
      </c>
    </row>
    <row r="26" spans="1:36" ht="22.95" customHeight="1">
      <c r="A26" s="1" t="s">
        <v>61</v>
      </c>
      <c r="B26" s="1">
        <v>5</v>
      </c>
      <c r="C26" s="1" t="s">
        <v>166</v>
      </c>
      <c r="D26" s="1">
        <v>150</v>
      </c>
      <c r="E26" s="1" t="s">
        <v>63</v>
      </c>
      <c r="F26" s="1" t="s">
        <v>167</v>
      </c>
      <c r="G26" s="1" t="s">
        <v>168</v>
      </c>
      <c r="H26" s="1" t="s">
        <v>169</v>
      </c>
      <c r="I26" s="1" t="s">
        <v>67</v>
      </c>
      <c r="J26" s="1">
        <v>12</v>
      </c>
      <c r="K26" s="1">
        <v>0</v>
      </c>
      <c r="L26" s="1">
        <v>120</v>
      </c>
      <c r="M26" s="1">
        <v>360</v>
      </c>
      <c r="N26" s="1">
        <v>12</v>
      </c>
      <c r="O26" s="1">
        <v>3500000000</v>
      </c>
      <c r="P26" s="1">
        <v>100</v>
      </c>
      <c r="Q26" s="1">
        <v>100.3605998</v>
      </c>
      <c r="R26" s="1">
        <v>10</v>
      </c>
      <c r="S26" s="1">
        <v>200</v>
      </c>
      <c r="T26" s="1">
        <v>100000000</v>
      </c>
      <c r="U26" s="1">
        <v>2</v>
      </c>
      <c r="V26" s="1" t="s">
        <v>68</v>
      </c>
      <c r="W26" s="1">
        <v>1400</v>
      </c>
      <c r="X26" s="1">
        <v>1048576</v>
      </c>
      <c r="Y26" s="1">
        <v>42</v>
      </c>
      <c r="Z26" s="1">
        <v>5</v>
      </c>
      <c r="AA26" s="3">
        <v>203.99951039999999</v>
      </c>
      <c r="AB26" s="3">
        <v>199.99951999999999</v>
      </c>
      <c r="AC26" s="3">
        <v>3.6410489269999999</v>
      </c>
      <c r="AD26" s="3">
        <v>0.100242585</v>
      </c>
      <c r="AE26" s="3">
        <v>0</v>
      </c>
      <c r="AF26" s="1">
        <v>178571</v>
      </c>
      <c r="AG26" s="1">
        <v>178571</v>
      </c>
      <c r="AH26" s="1">
        <v>254999388</v>
      </c>
      <c r="AI26" s="1">
        <v>0</v>
      </c>
      <c r="AJ26" s="1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4B70"/>
  </sheetPr>
  <dimension ref="A1:AJ26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22" customWidth="1"/>
    <col min="3" max="3" width="36" customWidth="1"/>
    <col min="4" max="5" width="22" customWidth="1"/>
    <col min="6" max="8" width="70" customWidth="1"/>
    <col min="9" max="35" width="22" customWidth="1"/>
    <col min="36" max="36" width="70" customWidth="1"/>
  </cols>
  <sheetData>
    <row r="1" spans="1:36" ht="76.05" customHeigh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</row>
    <row r="2" spans="1:36" ht="22.95" customHeight="1">
      <c r="A2" s="1" t="s">
        <v>61</v>
      </c>
      <c r="B2" s="1">
        <v>1</v>
      </c>
      <c r="C2" s="1" t="s">
        <v>170</v>
      </c>
      <c r="D2" s="1">
        <v>162</v>
      </c>
      <c r="E2" s="1" t="s">
        <v>63</v>
      </c>
      <c r="F2" s="1" t="s">
        <v>171</v>
      </c>
      <c r="G2" s="1" t="s">
        <v>172</v>
      </c>
      <c r="H2" s="1" t="s">
        <v>173</v>
      </c>
      <c r="I2" s="1" t="s">
        <v>67</v>
      </c>
      <c r="J2" s="1">
        <v>0</v>
      </c>
      <c r="K2" s="1">
        <v>0</v>
      </c>
      <c r="L2" s="1">
        <v>120</v>
      </c>
      <c r="M2" s="1">
        <v>360</v>
      </c>
      <c r="N2" s="1">
        <v>0</v>
      </c>
      <c r="O2" s="1">
        <v>3500000000</v>
      </c>
      <c r="P2" s="1">
        <v>100</v>
      </c>
      <c r="Q2" s="1">
        <v>100.3605998</v>
      </c>
      <c r="R2" s="1">
        <v>10</v>
      </c>
      <c r="S2" s="1">
        <v>200</v>
      </c>
      <c r="T2" s="1">
        <v>100000000</v>
      </c>
      <c r="U2" s="1">
        <v>2</v>
      </c>
      <c r="V2" s="1" t="s">
        <v>68</v>
      </c>
      <c r="W2" s="1">
        <v>1400</v>
      </c>
      <c r="X2" s="1">
        <v>1048576</v>
      </c>
      <c r="Y2" s="1">
        <v>42</v>
      </c>
      <c r="Z2" s="1">
        <v>1</v>
      </c>
      <c r="AA2" s="3">
        <v>203.99951039999999</v>
      </c>
      <c r="AB2" s="3">
        <v>199.99951999999999</v>
      </c>
      <c r="AC2" s="3">
        <v>3.6406618260000001</v>
      </c>
      <c r="AD2" s="3">
        <v>9.9003695000000003E-2</v>
      </c>
      <c r="AE2" s="3">
        <v>0</v>
      </c>
      <c r="AF2" s="1">
        <v>178571</v>
      </c>
      <c r="AG2" s="1">
        <v>178571</v>
      </c>
      <c r="AH2" s="1">
        <v>254999388</v>
      </c>
      <c r="AI2" s="1">
        <v>0</v>
      </c>
      <c r="AJ2" s="1" t="s">
        <v>174</v>
      </c>
    </row>
    <row r="3" spans="1:36" ht="22.95" customHeight="1">
      <c r="A3" s="1" t="s">
        <v>61</v>
      </c>
      <c r="B3" s="1">
        <v>1</v>
      </c>
      <c r="C3" s="1" t="s">
        <v>175</v>
      </c>
      <c r="D3" s="1">
        <v>163</v>
      </c>
      <c r="E3" s="1" t="s">
        <v>63</v>
      </c>
      <c r="F3" s="1" t="s">
        <v>176</v>
      </c>
      <c r="G3" s="1" t="s">
        <v>177</v>
      </c>
      <c r="H3" s="1" t="s">
        <v>178</v>
      </c>
      <c r="I3" s="1" t="s">
        <v>67</v>
      </c>
      <c r="J3" s="1">
        <v>0</v>
      </c>
      <c r="K3" s="1">
        <v>0</v>
      </c>
      <c r="L3" s="1">
        <v>120</v>
      </c>
      <c r="M3" s="1">
        <v>360</v>
      </c>
      <c r="N3" s="1">
        <v>0</v>
      </c>
      <c r="O3" s="1">
        <v>3500000000</v>
      </c>
      <c r="P3" s="1">
        <v>100</v>
      </c>
      <c r="Q3" s="1">
        <v>100.3605998</v>
      </c>
      <c r="R3" s="1">
        <v>10</v>
      </c>
      <c r="S3" s="1">
        <v>200</v>
      </c>
      <c r="T3" s="1">
        <v>100000000</v>
      </c>
      <c r="U3" s="1">
        <v>2</v>
      </c>
      <c r="V3" s="1" t="s">
        <v>68</v>
      </c>
      <c r="W3" s="1">
        <v>1400</v>
      </c>
      <c r="X3" s="1">
        <v>1048576</v>
      </c>
      <c r="Y3" s="1">
        <v>42</v>
      </c>
      <c r="Z3" s="1">
        <v>2</v>
      </c>
      <c r="AA3" s="3">
        <v>203.99951039999999</v>
      </c>
      <c r="AB3" s="3">
        <v>199.99951999999999</v>
      </c>
      <c r="AC3" s="3">
        <v>3.6465550649999998</v>
      </c>
      <c r="AD3" s="3">
        <v>9.9026085E-2</v>
      </c>
      <c r="AE3" s="3">
        <v>0</v>
      </c>
      <c r="AF3" s="1">
        <v>178571</v>
      </c>
      <c r="AG3" s="1">
        <v>178571</v>
      </c>
      <c r="AH3" s="1">
        <v>254999388</v>
      </c>
      <c r="AI3" s="1">
        <v>0</v>
      </c>
      <c r="AJ3" s="1" t="s">
        <v>179</v>
      </c>
    </row>
    <row r="4" spans="1:36" ht="22.95" customHeight="1">
      <c r="A4" s="1" t="s">
        <v>61</v>
      </c>
      <c r="B4" s="1">
        <v>1</v>
      </c>
      <c r="C4" s="1" t="s">
        <v>180</v>
      </c>
      <c r="D4" s="1">
        <v>164</v>
      </c>
      <c r="E4" s="1" t="s">
        <v>63</v>
      </c>
      <c r="F4" s="1" t="s">
        <v>181</v>
      </c>
      <c r="G4" s="1" t="s">
        <v>182</v>
      </c>
      <c r="H4" s="1" t="s">
        <v>183</v>
      </c>
      <c r="I4" s="1" t="s">
        <v>67</v>
      </c>
      <c r="J4" s="1">
        <v>0</v>
      </c>
      <c r="K4" s="1">
        <v>0</v>
      </c>
      <c r="L4" s="1">
        <v>120</v>
      </c>
      <c r="M4" s="1">
        <v>360</v>
      </c>
      <c r="N4" s="1">
        <v>0</v>
      </c>
      <c r="O4" s="1">
        <v>3500000000</v>
      </c>
      <c r="P4" s="1">
        <v>100</v>
      </c>
      <c r="Q4" s="1">
        <v>100.3605998</v>
      </c>
      <c r="R4" s="1">
        <v>10</v>
      </c>
      <c r="S4" s="1">
        <v>200</v>
      </c>
      <c r="T4" s="1">
        <v>100000000</v>
      </c>
      <c r="U4" s="1">
        <v>2</v>
      </c>
      <c r="V4" s="1" t="s">
        <v>68</v>
      </c>
      <c r="W4" s="1">
        <v>1400</v>
      </c>
      <c r="X4" s="1">
        <v>1048576</v>
      </c>
      <c r="Y4" s="1">
        <v>42</v>
      </c>
      <c r="Z4" s="1">
        <v>3</v>
      </c>
      <c r="AA4" s="3">
        <v>203.99951039999999</v>
      </c>
      <c r="AB4" s="3">
        <v>199.99951999999999</v>
      </c>
      <c r="AC4" s="3">
        <v>3.645780995</v>
      </c>
      <c r="AD4" s="3">
        <v>9.9012831999999995E-2</v>
      </c>
      <c r="AE4" s="3">
        <v>0</v>
      </c>
      <c r="AF4" s="1">
        <v>178571</v>
      </c>
      <c r="AG4" s="1">
        <v>178571</v>
      </c>
      <c r="AH4" s="1">
        <v>254999388</v>
      </c>
      <c r="AI4" s="1">
        <v>0</v>
      </c>
      <c r="AJ4" s="1" t="s">
        <v>184</v>
      </c>
    </row>
    <row r="5" spans="1:36" ht="22.95" customHeight="1">
      <c r="A5" s="1" t="s">
        <v>61</v>
      </c>
      <c r="B5" s="1">
        <v>1</v>
      </c>
      <c r="C5" s="1" t="s">
        <v>185</v>
      </c>
      <c r="D5" s="1">
        <v>165</v>
      </c>
      <c r="E5" s="1" t="s">
        <v>63</v>
      </c>
      <c r="F5" s="1" t="s">
        <v>186</v>
      </c>
      <c r="G5" s="1" t="s">
        <v>187</v>
      </c>
      <c r="H5" s="1" t="s">
        <v>188</v>
      </c>
      <c r="I5" s="1" t="s">
        <v>67</v>
      </c>
      <c r="J5" s="1">
        <v>0</v>
      </c>
      <c r="K5" s="1">
        <v>0</v>
      </c>
      <c r="L5" s="1">
        <v>120</v>
      </c>
      <c r="M5" s="1">
        <v>360</v>
      </c>
      <c r="N5" s="1">
        <v>0</v>
      </c>
      <c r="O5" s="1">
        <v>3500000000</v>
      </c>
      <c r="P5" s="1">
        <v>100</v>
      </c>
      <c r="Q5" s="1">
        <v>100.3605998</v>
      </c>
      <c r="R5" s="1">
        <v>10</v>
      </c>
      <c r="S5" s="1">
        <v>200</v>
      </c>
      <c r="T5" s="1">
        <v>100000000</v>
      </c>
      <c r="U5" s="1">
        <v>2</v>
      </c>
      <c r="V5" s="1" t="s">
        <v>68</v>
      </c>
      <c r="W5" s="1">
        <v>1400</v>
      </c>
      <c r="X5" s="1">
        <v>1048576</v>
      </c>
      <c r="Y5" s="1">
        <v>42</v>
      </c>
      <c r="Z5" s="1">
        <v>4</v>
      </c>
      <c r="AA5" s="3">
        <v>203.99951039999999</v>
      </c>
      <c r="AB5" s="3">
        <v>199.99951999999999</v>
      </c>
      <c r="AC5" s="3">
        <v>3.645836139</v>
      </c>
      <c r="AD5" s="3">
        <v>9.8983894000000003E-2</v>
      </c>
      <c r="AE5" s="3">
        <v>0</v>
      </c>
      <c r="AF5" s="1">
        <v>178571</v>
      </c>
      <c r="AG5" s="1">
        <v>178571</v>
      </c>
      <c r="AH5" s="1">
        <v>254999388</v>
      </c>
      <c r="AI5" s="1">
        <v>0</v>
      </c>
      <c r="AJ5" s="1" t="s">
        <v>189</v>
      </c>
    </row>
    <row r="6" spans="1:36" ht="22.95" customHeight="1">
      <c r="A6" s="1" t="s">
        <v>61</v>
      </c>
      <c r="B6" s="1">
        <v>1</v>
      </c>
      <c r="C6" s="1" t="s">
        <v>190</v>
      </c>
      <c r="D6" s="1">
        <v>166</v>
      </c>
      <c r="E6" s="1" t="s">
        <v>63</v>
      </c>
      <c r="F6" s="1" t="s">
        <v>191</v>
      </c>
      <c r="G6" s="1" t="s">
        <v>192</v>
      </c>
      <c r="H6" s="1" t="s">
        <v>193</v>
      </c>
      <c r="I6" s="1" t="s">
        <v>67</v>
      </c>
      <c r="J6" s="1">
        <v>0</v>
      </c>
      <c r="K6" s="1">
        <v>0</v>
      </c>
      <c r="L6" s="1">
        <v>120</v>
      </c>
      <c r="M6" s="1">
        <v>360</v>
      </c>
      <c r="N6" s="1">
        <v>0</v>
      </c>
      <c r="O6" s="1">
        <v>3500000000</v>
      </c>
      <c r="P6" s="1">
        <v>100</v>
      </c>
      <c r="Q6" s="1">
        <v>100.3605998</v>
      </c>
      <c r="R6" s="1">
        <v>10</v>
      </c>
      <c r="S6" s="1">
        <v>200</v>
      </c>
      <c r="T6" s="1">
        <v>100000000</v>
      </c>
      <c r="U6" s="1">
        <v>2</v>
      </c>
      <c r="V6" s="1" t="s">
        <v>68</v>
      </c>
      <c r="W6" s="1">
        <v>1400</v>
      </c>
      <c r="X6" s="1">
        <v>1048576</v>
      </c>
      <c r="Y6" s="1">
        <v>42</v>
      </c>
      <c r="Z6" s="1">
        <v>5</v>
      </c>
      <c r="AA6" s="3">
        <v>203.99951039999999</v>
      </c>
      <c r="AB6" s="3">
        <v>199.99951999999999</v>
      </c>
      <c r="AC6" s="3">
        <v>3.6450311599999998</v>
      </c>
      <c r="AD6" s="3">
        <v>9.8967025E-2</v>
      </c>
      <c r="AE6" s="3">
        <v>0</v>
      </c>
      <c r="AF6" s="1">
        <v>178571</v>
      </c>
      <c r="AG6" s="1">
        <v>178571</v>
      </c>
      <c r="AH6" s="1">
        <v>254999388</v>
      </c>
      <c r="AI6" s="1">
        <v>0</v>
      </c>
      <c r="AJ6" s="1" t="s">
        <v>194</v>
      </c>
    </row>
    <row r="7" spans="1:36" ht="22.95" customHeight="1">
      <c r="A7" s="1" t="s">
        <v>61</v>
      </c>
      <c r="B7" s="1">
        <v>2</v>
      </c>
      <c r="C7" s="1" t="s">
        <v>195</v>
      </c>
      <c r="D7" s="1">
        <v>162</v>
      </c>
      <c r="E7" s="1" t="s">
        <v>63</v>
      </c>
      <c r="F7" s="1" t="s">
        <v>196</v>
      </c>
      <c r="G7" s="1" t="s">
        <v>197</v>
      </c>
      <c r="H7" s="1" t="s">
        <v>198</v>
      </c>
      <c r="I7" s="1" t="s">
        <v>67</v>
      </c>
      <c r="J7" s="1">
        <v>0</v>
      </c>
      <c r="K7" s="1">
        <v>30</v>
      </c>
      <c r="L7" s="1">
        <v>120</v>
      </c>
      <c r="M7" s="1">
        <v>360</v>
      </c>
      <c r="N7" s="1">
        <v>-0.72305302400000004</v>
      </c>
      <c r="O7" s="1">
        <v>3500000000</v>
      </c>
      <c r="P7" s="1">
        <v>100</v>
      </c>
      <c r="Q7" s="1">
        <v>100.3605998</v>
      </c>
      <c r="R7" s="1">
        <v>10</v>
      </c>
      <c r="S7" s="1">
        <v>200</v>
      </c>
      <c r="T7" s="1">
        <v>100000000</v>
      </c>
      <c r="U7" s="1">
        <v>2</v>
      </c>
      <c r="V7" s="1" t="s">
        <v>68</v>
      </c>
      <c r="W7" s="1">
        <v>1400</v>
      </c>
      <c r="X7" s="1">
        <v>1048576</v>
      </c>
      <c r="Y7" s="1">
        <v>42</v>
      </c>
      <c r="Z7" s="1">
        <v>1</v>
      </c>
      <c r="AA7" s="3">
        <v>155.58802560000001</v>
      </c>
      <c r="AB7" s="3">
        <v>152.53728000000001</v>
      </c>
      <c r="AC7" s="3">
        <v>195.98820739999999</v>
      </c>
      <c r="AD7" s="3">
        <v>0.14506807799999999</v>
      </c>
      <c r="AE7" s="3">
        <v>0.23731177000000001</v>
      </c>
      <c r="AF7" s="1">
        <v>178571</v>
      </c>
      <c r="AG7" s="1">
        <v>136194</v>
      </c>
      <c r="AH7" s="1">
        <v>194485032</v>
      </c>
      <c r="AI7" s="1">
        <v>42377</v>
      </c>
      <c r="AJ7" s="1" t="s">
        <v>174</v>
      </c>
    </row>
    <row r="8" spans="1:36" ht="22.95" customHeight="1">
      <c r="A8" s="1" t="s">
        <v>61</v>
      </c>
      <c r="B8" s="1">
        <v>2</v>
      </c>
      <c r="C8" s="1" t="s">
        <v>199</v>
      </c>
      <c r="D8" s="1">
        <v>163</v>
      </c>
      <c r="E8" s="1" t="s">
        <v>63</v>
      </c>
      <c r="F8" s="1" t="s">
        <v>200</v>
      </c>
      <c r="G8" s="1" t="s">
        <v>201</v>
      </c>
      <c r="H8" s="1" t="s">
        <v>202</v>
      </c>
      <c r="I8" s="1" t="s">
        <v>67</v>
      </c>
      <c r="J8" s="1">
        <v>0</v>
      </c>
      <c r="K8" s="1">
        <v>30</v>
      </c>
      <c r="L8" s="1">
        <v>120</v>
      </c>
      <c r="M8" s="1">
        <v>360</v>
      </c>
      <c r="N8" s="1">
        <v>-0.72305302400000004</v>
      </c>
      <c r="O8" s="1">
        <v>3500000000</v>
      </c>
      <c r="P8" s="1">
        <v>100</v>
      </c>
      <c r="Q8" s="1">
        <v>100.3605998</v>
      </c>
      <c r="R8" s="1">
        <v>10</v>
      </c>
      <c r="S8" s="1">
        <v>200</v>
      </c>
      <c r="T8" s="1">
        <v>100000000</v>
      </c>
      <c r="U8" s="1">
        <v>2</v>
      </c>
      <c r="V8" s="1" t="s">
        <v>68</v>
      </c>
      <c r="W8" s="1">
        <v>1400</v>
      </c>
      <c r="X8" s="1">
        <v>1048576</v>
      </c>
      <c r="Y8" s="1">
        <v>42</v>
      </c>
      <c r="Z8" s="1">
        <v>2</v>
      </c>
      <c r="AA8" s="3">
        <v>155.33098559999999</v>
      </c>
      <c r="AB8" s="3">
        <v>152.28528</v>
      </c>
      <c r="AC8" s="3">
        <v>195.64480800000001</v>
      </c>
      <c r="AD8" s="3">
        <v>0.145293388</v>
      </c>
      <c r="AE8" s="3">
        <v>0.23857177299999999</v>
      </c>
      <c r="AF8" s="1">
        <v>178571</v>
      </c>
      <c r="AG8" s="1">
        <v>135969</v>
      </c>
      <c r="AH8" s="1">
        <v>194163732</v>
      </c>
      <c r="AI8" s="1">
        <v>42602</v>
      </c>
      <c r="AJ8" s="1" t="s">
        <v>179</v>
      </c>
    </row>
    <row r="9" spans="1:36" ht="22.95" customHeight="1">
      <c r="A9" s="1" t="s">
        <v>61</v>
      </c>
      <c r="B9" s="1">
        <v>2</v>
      </c>
      <c r="C9" s="1" t="s">
        <v>203</v>
      </c>
      <c r="D9" s="1">
        <v>164</v>
      </c>
      <c r="E9" s="1" t="s">
        <v>63</v>
      </c>
      <c r="F9" s="1" t="s">
        <v>204</v>
      </c>
      <c r="G9" s="1" t="s">
        <v>205</v>
      </c>
      <c r="H9" s="1" t="s">
        <v>206</v>
      </c>
      <c r="I9" s="1" t="s">
        <v>67</v>
      </c>
      <c r="J9" s="1">
        <v>0</v>
      </c>
      <c r="K9" s="1">
        <v>30</v>
      </c>
      <c r="L9" s="1">
        <v>120</v>
      </c>
      <c r="M9" s="1">
        <v>360</v>
      </c>
      <c r="N9" s="1">
        <v>-0.72305302400000004</v>
      </c>
      <c r="O9" s="1">
        <v>3500000000</v>
      </c>
      <c r="P9" s="1">
        <v>100</v>
      </c>
      <c r="Q9" s="1">
        <v>100.3605998</v>
      </c>
      <c r="R9" s="1">
        <v>10</v>
      </c>
      <c r="S9" s="1">
        <v>200</v>
      </c>
      <c r="T9" s="1">
        <v>100000000</v>
      </c>
      <c r="U9" s="1">
        <v>2</v>
      </c>
      <c r="V9" s="1" t="s">
        <v>68</v>
      </c>
      <c r="W9" s="1">
        <v>1400</v>
      </c>
      <c r="X9" s="1">
        <v>1048576</v>
      </c>
      <c r="Y9" s="1">
        <v>42</v>
      </c>
      <c r="Z9" s="1">
        <v>3</v>
      </c>
      <c r="AA9" s="3">
        <v>155.8564896</v>
      </c>
      <c r="AB9" s="3">
        <v>152.80047999999999</v>
      </c>
      <c r="AC9" s="3">
        <v>196.04308459999999</v>
      </c>
      <c r="AD9" s="3">
        <v>0.14478814100000001</v>
      </c>
      <c r="AE9" s="3">
        <v>0.235995766</v>
      </c>
      <c r="AF9" s="1">
        <v>178571</v>
      </c>
      <c r="AG9" s="1">
        <v>136429</v>
      </c>
      <c r="AH9" s="1">
        <v>194820612</v>
      </c>
      <c r="AI9" s="1">
        <v>42142</v>
      </c>
      <c r="AJ9" s="1" t="s">
        <v>184</v>
      </c>
    </row>
    <row r="10" spans="1:36" ht="22.95" customHeight="1">
      <c r="A10" s="1" t="s">
        <v>61</v>
      </c>
      <c r="B10" s="1">
        <v>2</v>
      </c>
      <c r="C10" s="1" t="s">
        <v>207</v>
      </c>
      <c r="D10" s="1">
        <v>165</v>
      </c>
      <c r="E10" s="1" t="s">
        <v>63</v>
      </c>
      <c r="F10" s="1" t="s">
        <v>208</v>
      </c>
      <c r="G10" s="1" t="s">
        <v>209</v>
      </c>
      <c r="H10" s="1" t="s">
        <v>210</v>
      </c>
      <c r="I10" s="1" t="s">
        <v>67</v>
      </c>
      <c r="J10" s="1">
        <v>0</v>
      </c>
      <c r="K10" s="1">
        <v>30</v>
      </c>
      <c r="L10" s="1">
        <v>120</v>
      </c>
      <c r="M10" s="1">
        <v>360</v>
      </c>
      <c r="N10" s="1">
        <v>-0.72305302400000004</v>
      </c>
      <c r="O10" s="1">
        <v>3500000000</v>
      </c>
      <c r="P10" s="1">
        <v>100</v>
      </c>
      <c r="Q10" s="1">
        <v>100.3605998</v>
      </c>
      <c r="R10" s="1">
        <v>10</v>
      </c>
      <c r="S10" s="1">
        <v>200</v>
      </c>
      <c r="T10" s="1">
        <v>100000000</v>
      </c>
      <c r="U10" s="1">
        <v>2</v>
      </c>
      <c r="V10" s="1" t="s">
        <v>68</v>
      </c>
      <c r="W10" s="1">
        <v>1400</v>
      </c>
      <c r="X10" s="1">
        <v>1048576</v>
      </c>
      <c r="Y10" s="1">
        <v>42</v>
      </c>
      <c r="Z10" s="1">
        <v>4</v>
      </c>
      <c r="AA10" s="3">
        <v>156.0838272</v>
      </c>
      <c r="AB10" s="3">
        <v>153.02336</v>
      </c>
      <c r="AC10" s="3">
        <v>196.3731817</v>
      </c>
      <c r="AD10" s="3">
        <v>0.144576129</v>
      </c>
      <c r="AE10" s="3">
        <v>0.23488136400000001</v>
      </c>
      <c r="AF10" s="1">
        <v>178571</v>
      </c>
      <c r="AG10" s="1">
        <v>136628</v>
      </c>
      <c r="AH10" s="1">
        <v>195104784</v>
      </c>
      <c r="AI10" s="1">
        <v>41943</v>
      </c>
      <c r="AJ10" s="1" t="s">
        <v>189</v>
      </c>
    </row>
    <row r="11" spans="1:36" ht="22.95" customHeight="1">
      <c r="A11" s="1" t="s">
        <v>61</v>
      </c>
      <c r="B11" s="1">
        <v>2</v>
      </c>
      <c r="C11" s="1" t="s">
        <v>211</v>
      </c>
      <c r="D11" s="1">
        <v>166</v>
      </c>
      <c r="E11" s="1" t="s">
        <v>63</v>
      </c>
      <c r="F11" s="1" t="s">
        <v>212</v>
      </c>
      <c r="G11" s="1" t="s">
        <v>213</v>
      </c>
      <c r="H11" s="1" t="s">
        <v>214</v>
      </c>
      <c r="I11" s="1" t="s">
        <v>67</v>
      </c>
      <c r="J11" s="1">
        <v>0</v>
      </c>
      <c r="K11" s="1">
        <v>30</v>
      </c>
      <c r="L11" s="1">
        <v>120</v>
      </c>
      <c r="M11" s="1">
        <v>360</v>
      </c>
      <c r="N11" s="1">
        <v>-0.72305302400000004</v>
      </c>
      <c r="O11" s="1">
        <v>3500000000</v>
      </c>
      <c r="P11" s="1">
        <v>100</v>
      </c>
      <c r="Q11" s="1">
        <v>100.3605998</v>
      </c>
      <c r="R11" s="1">
        <v>10</v>
      </c>
      <c r="S11" s="1">
        <v>200</v>
      </c>
      <c r="T11" s="1">
        <v>100000000</v>
      </c>
      <c r="U11" s="1">
        <v>2</v>
      </c>
      <c r="V11" s="1" t="s">
        <v>68</v>
      </c>
      <c r="W11" s="1">
        <v>1400</v>
      </c>
      <c r="X11" s="1">
        <v>1048576</v>
      </c>
      <c r="Y11" s="1">
        <v>42</v>
      </c>
      <c r="Z11" s="1">
        <v>5</v>
      </c>
      <c r="AA11" s="3">
        <v>155.58802560000001</v>
      </c>
      <c r="AB11" s="3">
        <v>152.53728000000001</v>
      </c>
      <c r="AC11" s="3">
        <v>196.18549039999999</v>
      </c>
      <c r="AD11" s="3">
        <v>0.144997555</v>
      </c>
      <c r="AE11" s="3">
        <v>0.23731177000000001</v>
      </c>
      <c r="AF11" s="1">
        <v>178571</v>
      </c>
      <c r="AG11" s="1">
        <v>136194</v>
      </c>
      <c r="AH11" s="1">
        <v>194485032</v>
      </c>
      <c r="AI11" s="1">
        <v>42377</v>
      </c>
      <c r="AJ11" s="1" t="s">
        <v>194</v>
      </c>
    </row>
    <row r="12" spans="1:36" ht="22.95" customHeight="1">
      <c r="A12" s="1" t="s">
        <v>61</v>
      </c>
      <c r="B12" s="1">
        <v>3</v>
      </c>
      <c r="C12" s="1" t="s">
        <v>215</v>
      </c>
      <c r="D12" s="1">
        <v>162</v>
      </c>
      <c r="E12" s="1" t="s">
        <v>63</v>
      </c>
      <c r="F12" s="1" t="s">
        <v>216</v>
      </c>
      <c r="G12" s="1" t="s">
        <v>217</v>
      </c>
      <c r="H12" s="1" t="s">
        <v>218</v>
      </c>
      <c r="I12" s="1" t="s">
        <v>67</v>
      </c>
      <c r="J12" s="1">
        <v>0</v>
      </c>
      <c r="K12" s="1">
        <v>60</v>
      </c>
      <c r="L12" s="1">
        <v>120</v>
      </c>
      <c r="M12" s="1">
        <v>360</v>
      </c>
      <c r="N12" s="1">
        <v>-3</v>
      </c>
      <c r="O12" s="1">
        <v>3500000000</v>
      </c>
      <c r="P12" s="1">
        <v>100</v>
      </c>
      <c r="Q12" s="1">
        <v>100.3605998</v>
      </c>
      <c r="R12" s="1">
        <v>10</v>
      </c>
      <c r="S12" s="1">
        <v>200</v>
      </c>
      <c r="T12" s="1">
        <v>100000000</v>
      </c>
      <c r="U12" s="1">
        <v>2</v>
      </c>
      <c r="V12" s="1" t="s">
        <v>68</v>
      </c>
      <c r="W12" s="1">
        <v>1400</v>
      </c>
      <c r="X12" s="1">
        <v>1048576</v>
      </c>
      <c r="Y12" s="1">
        <v>42</v>
      </c>
      <c r="Z12" s="1">
        <v>1</v>
      </c>
      <c r="AA12" s="3">
        <v>185.28242879999999</v>
      </c>
      <c r="AB12" s="3">
        <v>181.64944</v>
      </c>
      <c r="AC12" s="3">
        <v>46.423645620000002</v>
      </c>
      <c r="AD12" s="3">
        <v>0.108835107</v>
      </c>
      <c r="AE12" s="3">
        <v>9.1750620000000005E-2</v>
      </c>
      <c r="AF12" s="1">
        <v>178571</v>
      </c>
      <c r="AG12" s="1">
        <v>162187</v>
      </c>
      <c r="AH12" s="1">
        <v>231603036</v>
      </c>
      <c r="AI12" s="1">
        <v>16384</v>
      </c>
      <c r="AJ12" s="1" t="s">
        <v>174</v>
      </c>
    </row>
    <row r="13" spans="1:36" ht="22.95" customHeight="1">
      <c r="A13" s="1" t="s">
        <v>61</v>
      </c>
      <c r="B13" s="1">
        <v>3</v>
      </c>
      <c r="C13" s="1" t="s">
        <v>219</v>
      </c>
      <c r="D13" s="1">
        <v>163</v>
      </c>
      <c r="E13" s="1" t="s">
        <v>63</v>
      </c>
      <c r="F13" s="1" t="s">
        <v>220</v>
      </c>
      <c r="G13" s="1" t="s">
        <v>221</v>
      </c>
      <c r="H13" s="1" t="s">
        <v>222</v>
      </c>
      <c r="I13" s="1" t="s">
        <v>67</v>
      </c>
      <c r="J13" s="1">
        <v>0</v>
      </c>
      <c r="K13" s="1">
        <v>60</v>
      </c>
      <c r="L13" s="1">
        <v>120</v>
      </c>
      <c r="M13" s="1">
        <v>360</v>
      </c>
      <c r="N13" s="1">
        <v>-3</v>
      </c>
      <c r="O13" s="1">
        <v>3500000000</v>
      </c>
      <c r="P13" s="1">
        <v>100</v>
      </c>
      <c r="Q13" s="1">
        <v>100.3605998</v>
      </c>
      <c r="R13" s="1">
        <v>10</v>
      </c>
      <c r="S13" s="1">
        <v>200</v>
      </c>
      <c r="T13" s="1">
        <v>100000000</v>
      </c>
      <c r="U13" s="1">
        <v>2</v>
      </c>
      <c r="V13" s="1" t="s">
        <v>68</v>
      </c>
      <c r="W13" s="1">
        <v>1400</v>
      </c>
      <c r="X13" s="1">
        <v>1048576</v>
      </c>
      <c r="Y13" s="1">
        <v>42</v>
      </c>
      <c r="Z13" s="1">
        <v>2</v>
      </c>
      <c r="AA13" s="3">
        <v>185.28242879999999</v>
      </c>
      <c r="AB13" s="3">
        <v>181.64944</v>
      </c>
      <c r="AC13" s="3">
        <v>46.427816049999997</v>
      </c>
      <c r="AD13" s="3">
        <v>0.10884044399999999</v>
      </c>
      <c r="AE13" s="3">
        <v>9.1750620000000005E-2</v>
      </c>
      <c r="AF13" s="1">
        <v>178571</v>
      </c>
      <c r="AG13" s="1">
        <v>162187</v>
      </c>
      <c r="AH13" s="1">
        <v>231603036</v>
      </c>
      <c r="AI13" s="1">
        <v>16384</v>
      </c>
      <c r="AJ13" s="1" t="s">
        <v>179</v>
      </c>
    </row>
    <row r="14" spans="1:36" ht="22.95" customHeight="1">
      <c r="A14" s="1" t="s">
        <v>61</v>
      </c>
      <c r="B14" s="1">
        <v>3</v>
      </c>
      <c r="C14" s="1" t="s">
        <v>223</v>
      </c>
      <c r="D14" s="1">
        <v>164</v>
      </c>
      <c r="E14" s="1" t="s">
        <v>63</v>
      </c>
      <c r="F14" s="1" t="s">
        <v>224</v>
      </c>
      <c r="G14" s="1" t="s">
        <v>225</v>
      </c>
      <c r="H14" s="1" t="s">
        <v>226</v>
      </c>
      <c r="I14" s="1" t="s">
        <v>67</v>
      </c>
      <c r="J14" s="1">
        <v>0</v>
      </c>
      <c r="K14" s="1">
        <v>60</v>
      </c>
      <c r="L14" s="1">
        <v>120</v>
      </c>
      <c r="M14" s="1">
        <v>360</v>
      </c>
      <c r="N14" s="1">
        <v>-3</v>
      </c>
      <c r="O14" s="1">
        <v>3500000000</v>
      </c>
      <c r="P14" s="1">
        <v>100</v>
      </c>
      <c r="Q14" s="1">
        <v>100.3605998</v>
      </c>
      <c r="R14" s="1">
        <v>10</v>
      </c>
      <c r="S14" s="1">
        <v>200</v>
      </c>
      <c r="T14" s="1">
        <v>100000000</v>
      </c>
      <c r="U14" s="1">
        <v>2</v>
      </c>
      <c r="V14" s="1" t="s">
        <v>68</v>
      </c>
      <c r="W14" s="1">
        <v>1400</v>
      </c>
      <c r="X14" s="1">
        <v>1048576</v>
      </c>
      <c r="Y14" s="1">
        <v>42</v>
      </c>
      <c r="Z14" s="1">
        <v>3</v>
      </c>
      <c r="AA14" s="3">
        <v>185.28242879999999</v>
      </c>
      <c r="AB14" s="3">
        <v>181.64944</v>
      </c>
      <c r="AC14" s="3">
        <v>46.419410939999999</v>
      </c>
      <c r="AD14" s="3">
        <v>0.108888094</v>
      </c>
      <c r="AE14" s="3">
        <v>9.1750620000000005E-2</v>
      </c>
      <c r="AF14" s="1">
        <v>178571</v>
      </c>
      <c r="AG14" s="1">
        <v>162187</v>
      </c>
      <c r="AH14" s="1">
        <v>231603036</v>
      </c>
      <c r="AI14" s="1">
        <v>16384</v>
      </c>
      <c r="AJ14" s="1" t="s">
        <v>184</v>
      </c>
    </row>
    <row r="15" spans="1:36" ht="22.95" customHeight="1">
      <c r="A15" s="1" t="s">
        <v>61</v>
      </c>
      <c r="B15" s="1">
        <v>3</v>
      </c>
      <c r="C15" s="1" t="s">
        <v>227</v>
      </c>
      <c r="D15" s="1">
        <v>165</v>
      </c>
      <c r="E15" s="1" t="s">
        <v>63</v>
      </c>
      <c r="F15" s="1" t="s">
        <v>228</v>
      </c>
      <c r="G15" s="1" t="s">
        <v>229</v>
      </c>
      <c r="H15" s="1" t="s">
        <v>230</v>
      </c>
      <c r="I15" s="1" t="s">
        <v>67</v>
      </c>
      <c r="J15" s="1">
        <v>0</v>
      </c>
      <c r="K15" s="1">
        <v>60</v>
      </c>
      <c r="L15" s="1">
        <v>120</v>
      </c>
      <c r="M15" s="1">
        <v>360</v>
      </c>
      <c r="N15" s="1">
        <v>-3</v>
      </c>
      <c r="O15" s="1">
        <v>3500000000</v>
      </c>
      <c r="P15" s="1">
        <v>100</v>
      </c>
      <c r="Q15" s="1">
        <v>100.3605998</v>
      </c>
      <c r="R15" s="1">
        <v>10</v>
      </c>
      <c r="S15" s="1">
        <v>200</v>
      </c>
      <c r="T15" s="1">
        <v>100000000</v>
      </c>
      <c r="U15" s="1">
        <v>2</v>
      </c>
      <c r="V15" s="1" t="s">
        <v>68</v>
      </c>
      <c r="W15" s="1">
        <v>1400</v>
      </c>
      <c r="X15" s="1">
        <v>1048576</v>
      </c>
      <c r="Y15" s="1">
        <v>42</v>
      </c>
      <c r="Z15" s="1">
        <v>4</v>
      </c>
      <c r="AA15" s="3">
        <v>185.28242879999999</v>
      </c>
      <c r="AB15" s="3">
        <v>181.64944</v>
      </c>
      <c r="AC15" s="3">
        <v>46.429096250000001</v>
      </c>
      <c r="AD15" s="3">
        <v>0.108856669</v>
      </c>
      <c r="AE15" s="3">
        <v>9.1750620000000005E-2</v>
      </c>
      <c r="AF15" s="1">
        <v>178571</v>
      </c>
      <c r="AG15" s="1">
        <v>162187</v>
      </c>
      <c r="AH15" s="1">
        <v>231603036</v>
      </c>
      <c r="AI15" s="1">
        <v>16384</v>
      </c>
      <c r="AJ15" s="1" t="s">
        <v>189</v>
      </c>
    </row>
    <row r="16" spans="1:36" ht="22.95" customHeight="1">
      <c r="A16" s="1" t="s">
        <v>61</v>
      </c>
      <c r="B16" s="1">
        <v>3</v>
      </c>
      <c r="C16" s="1" t="s">
        <v>231</v>
      </c>
      <c r="D16" s="1">
        <v>166</v>
      </c>
      <c r="E16" s="1" t="s">
        <v>63</v>
      </c>
      <c r="F16" s="1" t="s">
        <v>232</v>
      </c>
      <c r="G16" s="1" t="s">
        <v>233</v>
      </c>
      <c r="H16" s="1" t="s">
        <v>234</v>
      </c>
      <c r="I16" s="1" t="s">
        <v>67</v>
      </c>
      <c r="J16" s="1">
        <v>0</v>
      </c>
      <c r="K16" s="1">
        <v>60</v>
      </c>
      <c r="L16" s="1">
        <v>120</v>
      </c>
      <c r="M16" s="1">
        <v>360</v>
      </c>
      <c r="N16" s="1">
        <v>-3</v>
      </c>
      <c r="O16" s="1">
        <v>3500000000</v>
      </c>
      <c r="P16" s="1">
        <v>100</v>
      </c>
      <c r="Q16" s="1">
        <v>100.3605998</v>
      </c>
      <c r="R16" s="1">
        <v>10</v>
      </c>
      <c r="S16" s="1">
        <v>200</v>
      </c>
      <c r="T16" s="1">
        <v>100000000</v>
      </c>
      <c r="U16" s="1">
        <v>2</v>
      </c>
      <c r="V16" s="1" t="s">
        <v>68</v>
      </c>
      <c r="W16" s="1">
        <v>1400</v>
      </c>
      <c r="X16" s="1">
        <v>1048576</v>
      </c>
      <c r="Y16" s="1">
        <v>42</v>
      </c>
      <c r="Z16" s="1">
        <v>5</v>
      </c>
      <c r="AA16" s="3">
        <v>185.28242879999999</v>
      </c>
      <c r="AB16" s="3">
        <v>181.64944</v>
      </c>
      <c r="AC16" s="3">
        <v>46.426072740000002</v>
      </c>
      <c r="AD16" s="3">
        <v>0.108868126</v>
      </c>
      <c r="AE16" s="3">
        <v>9.1750620000000005E-2</v>
      </c>
      <c r="AF16" s="1">
        <v>178571</v>
      </c>
      <c r="AG16" s="1">
        <v>162187</v>
      </c>
      <c r="AH16" s="1">
        <v>231603036</v>
      </c>
      <c r="AI16" s="1">
        <v>16384</v>
      </c>
      <c r="AJ16" s="1" t="s">
        <v>194</v>
      </c>
    </row>
    <row r="17" spans="1:36" ht="22.95" customHeight="1">
      <c r="A17" s="1" t="s">
        <v>61</v>
      </c>
      <c r="B17" s="1">
        <v>4</v>
      </c>
      <c r="C17" s="1" t="s">
        <v>235</v>
      </c>
      <c r="D17" s="1">
        <v>162</v>
      </c>
      <c r="E17" s="1" t="s">
        <v>63</v>
      </c>
      <c r="F17" s="1" t="s">
        <v>236</v>
      </c>
      <c r="G17" s="1" t="s">
        <v>237</v>
      </c>
      <c r="H17" s="1" t="s">
        <v>238</v>
      </c>
      <c r="I17" s="1" t="s">
        <v>67</v>
      </c>
      <c r="J17" s="1">
        <v>0</v>
      </c>
      <c r="K17" s="1">
        <v>90</v>
      </c>
      <c r="L17" s="1">
        <v>120</v>
      </c>
      <c r="M17" s="1">
        <v>360</v>
      </c>
      <c r="N17" s="1">
        <v>-7.2282625190000003</v>
      </c>
      <c r="O17" s="1">
        <v>3500000000</v>
      </c>
      <c r="P17" s="1">
        <v>100</v>
      </c>
      <c r="Q17" s="1">
        <v>100.3605998</v>
      </c>
      <c r="R17" s="1">
        <v>10</v>
      </c>
      <c r="S17" s="1">
        <v>200</v>
      </c>
      <c r="T17" s="1">
        <v>100000000</v>
      </c>
      <c r="U17" s="1">
        <v>2</v>
      </c>
      <c r="V17" s="1" t="s">
        <v>68</v>
      </c>
      <c r="W17" s="1">
        <v>1400</v>
      </c>
      <c r="X17" s="1">
        <v>1048576</v>
      </c>
      <c r="Y17" s="1">
        <v>42</v>
      </c>
      <c r="Z17" s="1">
        <v>1</v>
      </c>
      <c r="AA17" s="3">
        <v>134.12804159999999</v>
      </c>
      <c r="AB17" s="3">
        <v>131.49807999999999</v>
      </c>
      <c r="AC17" s="3">
        <v>65.406650580000004</v>
      </c>
      <c r="AD17" s="3">
        <v>0.124420082</v>
      </c>
      <c r="AE17" s="3">
        <v>0.34250802200000002</v>
      </c>
      <c r="AF17" s="1">
        <v>178571</v>
      </c>
      <c r="AG17" s="1">
        <v>117409</v>
      </c>
      <c r="AH17" s="1">
        <v>167660052</v>
      </c>
      <c r="AI17" s="1">
        <v>61162</v>
      </c>
      <c r="AJ17" s="1" t="s">
        <v>174</v>
      </c>
    </row>
    <row r="18" spans="1:36" ht="22.95" customHeight="1">
      <c r="A18" s="1" t="s">
        <v>61</v>
      </c>
      <c r="B18" s="1">
        <v>4</v>
      </c>
      <c r="C18" s="1" t="s">
        <v>239</v>
      </c>
      <c r="D18" s="1">
        <v>163</v>
      </c>
      <c r="E18" s="1" t="s">
        <v>63</v>
      </c>
      <c r="F18" s="1" t="s">
        <v>240</v>
      </c>
      <c r="G18" s="1" t="s">
        <v>241</v>
      </c>
      <c r="H18" s="1" t="s">
        <v>242</v>
      </c>
      <c r="I18" s="1" t="s">
        <v>67</v>
      </c>
      <c r="J18" s="1">
        <v>0</v>
      </c>
      <c r="K18" s="1">
        <v>90</v>
      </c>
      <c r="L18" s="1">
        <v>120</v>
      </c>
      <c r="M18" s="1">
        <v>360</v>
      </c>
      <c r="N18" s="1">
        <v>-7.2282625190000003</v>
      </c>
      <c r="O18" s="1">
        <v>3500000000</v>
      </c>
      <c r="P18" s="1">
        <v>100</v>
      </c>
      <c r="Q18" s="1">
        <v>100.3605998</v>
      </c>
      <c r="R18" s="1">
        <v>10</v>
      </c>
      <c r="S18" s="1">
        <v>200</v>
      </c>
      <c r="T18" s="1">
        <v>100000000</v>
      </c>
      <c r="U18" s="1">
        <v>2</v>
      </c>
      <c r="V18" s="1" t="s">
        <v>68</v>
      </c>
      <c r="W18" s="1">
        <v>1400</v>
      </c>
      <c r="X18" s="1">
        <v>1048576</v>
      </c>
      <c r="Y18" s="1">
        <v>42</v>
      </c>
      <c r="Z18" s="1">
        <v>2</v>
      </c>
      <c r="AA18" s="3">
        <v>134.00580479999999</v>
      </c>
      <c r="AB18" s="3">
        <v>131.37824000000001</v>
      </c>
      <c r="AC18" s="3">
        <v>65.448516310000002</v>
      </c>
      <c r="AD18" s="3">
        <v>0.124576441</v>
      </c>
      <c r="AE18" s="3">
        <v>0.34310722300000002</v>
      </c>
      <c r="AF18" s="1">
        <v>178571</v>
      </c>
      <c r="AG18" s="1">
        <v>117302</v>
      </c>
      <c r="AH18" s="1">
        <v>167507256</v>
      </c>
      <c r="AI18" s="1">
        <v>61269</v>
      </c>
      <c r="AJ18" s="1" t="s">
        <v>179</v>
      </c>
    </row>
    <row r="19" spans="1:36" ht="22.95" customHeight="1">
      <c r="A19" s="1" t="s">
        <v>61</v>
      </c>
      <c r="B19" s="1">
        <v>4</v>
      </c>
      <c r="C19" s="1" t="s">
        <v>243</v>
      </c>
      <c r="D19" s="1">
        <v>164</v>
      </c>
      <c r="E19" s="1" t="s">
        <v>63</v>
      </c>
      <c r="F19" s="1" t="s">
        <v>244</v>
      </c>
      <c r="G19" s="1" t="s">
        <v>245</v>
      </c>
      <c r="H19" s="1" t="s">
        <v>246</v>
      </c>
      <c r="I19" s="1" t="s">
        <v>67</v>
      </c>
      <c r="J19" s="1">
        <v>0</v>
      </c>
      <c r="K19" s="1">
        <v>90</v>
      </c>
      <c r="L19" s="1">
        <v>120</v>
      </c>
      <c r="M19" s="1">
        <v>360</v>
      </c>
      <c r="N19" s="1">
        <v>-7.2282625190000003</v>
      </c>
      <c r="O19" s="1">
        <v>3500000000</v>
      </c>
      <c r="P19" s="1">
        <v>100</v>
      </c>
      <c r="Q19" s="1">
        <v>100.3605998</v>
      </c>
      <c r="R19" s="1">
        <v>10</v>
      </c>
      <c r="S19" s="1">
        <v>200</v>
      </c>
      <c r="T19" s="1">
        <v>100000000</v>
      </c>
      <c r="U19" s="1">
        <v>2</v>
      </c>
      <c r="V19" s="1" t="s">
        <v>68</v>
      </c>
      <c r="W19" s="1">
        <v>1400</v>
      </c>
      <c r="X19" s="1">
        <v>1048576</v>
      </c>
      <c r="Y19" s="1">
        <v>42</v>
      </c>
      <c r="Z19" s="1">
        <v>3</v>
      </c>
      <c r="AA19" s="3">
        <v>134.1714528</v>
      </c>
      <c r="AB19" s="3">
        <v>131.54064</v>
      </c>
      <c r="AC19" s="3">
        <v>64.364772880000004</v>
      </c>
      <c r="AD19" s="3">
        <v>0.12294938599999999</v>
      </c>
      <c r="AE19" s="3">
        <v>0.34229522200000001</v>
      </c>
      <c r="AF19" s="1">
        <v>178571</v>
      </c>
      <c r="AG19" s="1">
        <v>117447</v>
      </c>
      <c r="AH19" s="1">
        <v>167714316</v>
      </c>
      <c r="AI19" s="1">
        <v>61124</v>
      </c>
      <c r="AJ19" s="1" t="s">
        <v>184</v>
      </c>
    </row>
    <row r="20" spans="1:36" ht="22.95" customHeight="1">
      <c r="A20" s="1" t="s">
        <v>61</v>
      </c>
      <c r="B20" s="1">
        <v>4</v>
      </c>
      <c r="C20" s="1" t="s">
        <v>247</v>
      </c>
      <c r="D20" s="1">
        <v>165</v>
      </c>
      <c r="E20" s="1" t="s">
        <v>63</v>
      </c>
      <c r="F20" s="1" t="s">
        <v>248</v>
      </c>
      <c r="G20" s="1" t="s">
        <v>249</v>
      </c>
      <c r="H20" s="1" t="s">
        <v>250</v>
      </c>
      <c r="I20" s="1" t="s">
        <v>67</v>
      </c>
      <c r="J20" s="1">
        <v>0</v>
      </c>
      <c r="K20" s="1">
        <v>90</v>
      </c>
      <c r="L20" s="1">
        <v>120</v>
      </c>
      <c r="M20" s="1">
        <v>360</v>
      </c>
      <c r="N20" s="1">
        <v>-7.2282625190000003</v>
      </c>
      <c r="O20" s="1">
        <v>3500000000</v>
      </c>
      <c r="P20" s="1">
        <v>100</v>
      </c>
      <c r="Q20" s="1">
        <v>100.3605998</v>
      </c>
      <c r="R20" s="1">
        <v>10</v>
      </c>
      <c r="S20" s="1">
        <v>200</v>
      </c>
      <c r="T20" s="1">
        <v>100000000</v>
      </c>
      <c r="U20" s="1">
        <v>2</v>
      </c>
      <c r="V20" s="1" t="s">
        <v>68</v>
      </c>
      <c r="W20" s="1">
        <v>1400</v>
      </c>
      <c r="X20" s="1">
        <v>1048576</v>
      </c>
      <c r="Y20" s="1">
        <v>42</v>
      </c>
      <c r="Z20" s="1">
        <v>4</v>
      </c>
      <c r="AA20" s="3">
        <v>134.14403519999999</v>
      </c>
      <c r="AB20" s="3">
        <v>131.51375999999999</v>
      </c>
      <c r="AC20" s="3">
        <v>64.390276180000001</v>
      </c>
      <c r="AD20" s="3">
        <v>0.123359489</v>
      </c>
      <c r="AE20" s="3">
        <v>0.34242962199999999</v>
      </c>
      <c r="AF20" s="1">
        <v>178571</v>
      </c>
      <c r="AG20" s="1">
        <v>117423</v>
      </c>
      <c r="AH20" s="1">
        <v>167680044</v>
      </c>
      <c r="AI20" s="1">
        <v>61148</v>
      </c>
      <c r="AJ20" s="1" t="s">
        <v>189</v>
      </c>
    </row>
    <row r="21" spans="1:36" ht="22.95" customHeight="1">
      <c r="A21" s="1" t="s">
        <v>61</v>
      </c>
      <c r="B21" s="1">
        <v>4</v>
      </c>
      <c r="C21" s="1" t="s">
        <v>251</v>
      </c>
      <c r="D21" s="1">
        <v>166</v>
      </c>
      <c r="E21" s="1" t="s">
        <v>63</v>
      </c>
      <c r="F21" s="1" t="s">
        <v>252</v>
      </c>
      <c r="G21" s="1" t="s">
        <v>253</v>
      </c>
      <c r="H21" s="1" t="s">
        <v>254</v>
      </c>
      <c r="I21" s="1" t="s">
        <v>67</v>
      </c>
      <c r="J21" s="1">
        <v>0</v>
      </c>
      <c r="K21" s="1">
        <v>90</v>
      </c>
      <c r="L21" s="1">
        <v>120</v>
      </c>
      <c r="M21" s="1">
        <v>360</v>
      </c>
      <c r="N21" s="1">
        <v>-7.2282625190000003</v>
      </c>
      <c r="O21" s="1">
        <v>3500000000</v>
      </c>
      <c r="P21" s="1">
        <v>100</v>
      </c>
      <c r="Q21" s="1">
        <v>100.3605998</v>
      </c>
      <c r="R21" s="1">
        <v>10</v>
      </c>
      <c r="S21" s="1">
        <v>200</v>
      </c>
      <c r="T21" s="1">
        <v>100000000</v>
      </c>
      <c r="U21" s="1">
        <v>2</v>
      </c>
      <c r="V21" s="1" t="s">
        <v>68</v>
      </c>
      <c r="W21" s="1">
        <v>1400</v>
      </c>
      <c r="X21" s="1">
        <v>1048576</v>
      </c>
      <c r="Y21" s="1">
        <v>42</v>
      </c>
      <c r="Z21" s="1">
        <v>5</v>
      </c>
      <c r="AA21" s="3">
        <v>134.13946559999999</v>
      </c>
      <c r="AB21" s="3">
        <v>131.50927999999999</v>
      </c>
      <c r="AC21" s="3">
        <v>64.387115559999998</v>
      </c>
      <c r="AD21" s="3">
        <v>0.123047959</v>
      </c>
      <c r="AE21" s="3">
        <v>0.34245202200000002</v>
      </c>
      <c r="AF21" s="1">
        <v>178571</v>
      </c>
      <c r="AG21" s="1">
        <v>117419</v>
      </c>
      <c r="AH21" s="1">
        <v>167674332</v>
      </c>
      <c r="AI21" s="1">
        <v>61152</v>
      </c>
      <c r="AJ21" s="1" t="s">
        <v>194</v>
      </c>
    </row>
    <row r="22" spans="1:36" ht="22.95" customHeight="1">
      <c r="A22" s="1" t="s">
        <v>61</v>
      </c>
      <c r="B22" s="1">
        <v>5</v>
      </c>
      <c r="C22" s="1" t="s">
        <v>255</v>
      </c>
      <c r="D22" s="1">
        <v>162</v>
      </c>
      <c r="E22" s="1" t="s">
        <v>63</v>
      </c>
      <c r="F22" s="1" t="s">
        <v>256</v>
      </c>
      <c r="G22" s="1" t="s">
        <v>257</v>
      </c>
      <c r="H22" s="1" t="s">
        <v>258</v>
      </c>
      <c r="I22" s="1" t="s">
        <v>67</v>
      </c>
      <c r="J22" s="1">
        <v>0</v>
      </c>
      <c r="K22" s="1">
        <v>120</v>
      </c>
      <c r="L22" s="1">
        <v>120</v>
      </c>
      <c r="M22" s="1">
        <v>360</v>
      </c>
      <c r="N22" s="1">
        <v>-14.456525040000001</v>
      </c>
      <c r="O22" s="1">
        <v>3500000000</v>
      </c>
      <c r="P22" s="1">
        <v>100</v>
      </c>
      <c r="Q22" s="1">
        <v>100.3605998</v>
      </c>
      <c r="R22" s="1">
        <v>10</v>
      </c>
      <c r="S22" s="1">
        <v>200</v>
      </c>
      <c r="T22" s="1">
        <v>100000000</v>
      </c>
      <c r="U22" s="1">
        <v>2</v>
      </c>
      <c r="V22" s="1" t="s">
        <v>68</v>
      </c>
      <c r="W22" s="1">
        <v>1400</v>
      </c>
      <c r="X22" s="1">
        <v>1048576</v>
      </c>
      <c r="Y22" s="1">
        <v>42</v>
      </c>
      <c r="Z22" s="1">
        <v>1</v>
      </c>
      <c r="AA22" s="3">
        <v>49.890892800000003</v>
      </c>
      <c r="AB22" s="3">
        <v>48.912640000000003</v>
      </c>
      <c r="AC22" s="3">
        <v>171.13763879999999</v>
      </c>
      <c r="AD22" s="3">
        <v>0.34279922600000001</v>
      </c>
      <c r="AE22" s="3">
        <v>0.75543621299999997</v>
      </c>
      <c r="AF22" s="1">
        <v>178571</v>
      </c>
      <c r="AG22" s="1">
        <v>43672</v>
      </c>
      <c r="AH22" s="1">
        <v>62363616</v>
      </c>
      <c r="AI22" s="1">
        <v>134899</v>
      </c>
      <c r="AJ22" s="1" t="s">
        <v>174</v>
      </c>
    </row>
    <row r="23" spans="1:36" ht="22.95" customHeight="1">
      <c r="A23" s="1" t="s">
        <v>61</v>
      </c>
      <c r="B23" s="1">
        <v>5</v>
      </c>
      <c r="C23" s="1" t="s">
        <v>259</v>
      </c>
      <c r="D23" s="1">
        <v>163</v>
      </c>
      <c r="E23" s="1" t="s">
        <v>63</v>
      </c>
      <c r="F23" s="1" t="s">
        <v>260</v>
      </c>
      <c r="G23" s="1" t="s">
        <v>261</v>
      </c>
      <c r="H23" s="1" t="s">
        <v>262</v>
      </c>
      <c r="I23" s="1" t="s">
        <v>67</v>
      </c>
      <c r="J23" s="1">
        <v>0</v>
      </c>
      <c r="K23" s="1">
        <v>120</v>
      </c>
      <c r="L23" s="1">
        <v>120</v>
      </c>
      <c r="M23" s="1">
        <v>360</v>
      </c>
      <c r="N23" s="1">
        <v>-14.456525040000001</v>
      </c>
      <c r="O23" s="1">
        <v>3500000000</v>
      </c>
      <c r="P23" s="1">
        <v>100</v>
      </c>
      <c r="Q23" s="1">
        <v>100.3605998</v>
      </c>
      <c r="R23" s="1">
        <v>10</v>
      </c>
      <c r="S23" s="1">
        <v>200</v>
      </c>
      <c r="T23" s="1">
        <v>100000000</v>
      </c>
      <c r="U23" s="1">
        <v>2</v>
      </c>
      <c r="V23" s="1" t="s">
        <v>68</v>
      </c>
      <c r="W23" s="1">
        <v>1400</v>
      </c>
      <c r="X23" s="1">
        <v>1048576</v>
      </c>
      <c r="Y23" s="1">
        <v>42</v>
      </c>
      <c r="Z23" s="1">
        <v>2</v>
      </c>
      <c r="AA23" s="3">
        <v>49.890892800000003</v>
      </c>
      <c r="AB23" s="3">
        <v>48.912640000000003</v>
      </c>
      <c r="AC23" s="3">
        <v>171.1400945</v>
      </c>
      <c r="AD23" s="3">
        <v>0.34403140599999998</v>
      </c>
      <c r="AE23" s="3">
        <v>0.75543621299999997</v>
      </c>
      <c r="AF23" s="1">
        <v>178571</v>
      </c>
      <c r="AG23" s="1">
        <v>43672</v>
      </c>
      <c r="AH23" s="1">
        <v>62363616</v>
      </c>
      <c r="AI23" s="1">
        <v>134899</v>
      </c>
      <c r="AJ23" s="1" t="s">
        <v>179</v>
      </c>
    </row>
    <row r="24" spans="1:36" ht="22.95" customHeight="1">
      <c r="A24" s="1" t="s">
        <v>61</v>
      </c>
      <c r="B24" s="1">
        <v>5</v>
      </c>
      <c r="C24" s="1" t="s">
        <v>263</v>
      </c>
      <c r="D24" s="1">
        <v>164</v>
      </c>
      <c r="E24" s="1" t="s">
        <v>63</v>
      </c>
      <c r="F24" s="1" t="s">
        <v>264</v>
      </c>
      <c r="G24" s="1" t="s">
        <v>265</v>
      </c>
      <c r="H24" s="1" t="s">
        <v>266</v>
      </c>
      <c r="I24" s="1" t="s">
        <v>67</v>
      </c>
      <c r="J24" s="1">
        <v>0</v>
      </c>
      <c r="K24" s="1">
        <v>120</v>
      </c>
      <c r="L24" s="1">
        <v>120</v>
      </c>
      <c r="M24" s="1">
        <v>360</v>
      </c>
      <c r="N24" s="1">
        <v>-14.456525040000001</v>
      </c>
      <c r="O24" s="1">
        <v>3500000000</v>
      </c>
      <c r="P24" s="1">
        <v>100</v>
      </c>
      <c r="Q24" s="1">
        <v>100.3605998</v>
      </c>
      <c r="R24" s="1">
        <v>10</v>
      </c>
      <c r="S24" s="1">
        <v>200</v>
      </c>
      <c r="T24" s="1">
        <v>100000000</v>
      </c>
      <c r="U24" s="1">
        <v>2</v>
      </c>
      <c r="V24" s="1" t="s">
        <v>68</v>
      </c>
      <c r="W24" s="1">
        <v>1400</v>
      </c>
      <c r="X24" s="1">
        <v>1048576</v>
      </c>
      <c r="Y24" s="1">
        <v>42</v>
      </c>
      <c r="Z24" s="1">
        <v>3</v>
      </c>
      <c r="AA24" s="3">
        <v>49.890892800000003</v>
      </c>
      <c r="AB24" s="3">
        <v>48.912640000000003</v>
      </c>
      <c r="AC24" s="3">
        <v>171.1359957</v>
      </c>
      <c r="AD24" s="3">
        <v>0.34376464299999998</v>
      </c>
      <c r="AE24" s="3">
        <v>0.75543621299999997</v>
      </c>
      <c r="AF24" s="1">
        <v>178571</v>
      </c>
      <c r="AG24" s="1">
        <v>43672</v>
      </c>
      <c r="AH24" s="1">
        <v>62363616</v>
      </c>
      <c r="AI24" s="1">
        <v>134899</v>
      </c>
      <c r="AJ24" s="1" t="s">
        <v>184</v>
      </c>
    </row>
    <row r="25" spans="1:36" ht="22.95" customHeight="1">
      <c r="A25" s="1" t="s">
        <v>61</v>
      </c>
      <c r="B25" s="1">
        <v>5</v>
      </c>
      <c r="C25" s="1" t="s">
        <v>267</v>
      </c>
      <c r="D25" s="1">
        <v>165</v>
      </c>
      <c r="E25" s="1" t="s">
        <v>63</v>
      </c>
      <c r="F25" s="1" t="s">
        <v>268</v>
      </c>
      <c r="G25" s="1" t="s">
        <v>269</v>
      </c>
      <c r="H25" s="1" t="s">
        <v>270</v>
      </c>
      <c r="I25" s="1" t="s">
        <v>67</v>
      </c>
      <c r="J25" s="1">
        <v>0</v>
      </c>
      <c r="K25" s="1">
        <v>120</v>
      </c>
      <c r="L25" s="1">
        <v>120</v>
      </c>
      <c r="M25" s="1">
        <v>360</v>
      </c>
      <c r="N25" s="1">
        <v>-14.456525040000001</v>
      </c>
      <c r="O25" s="1">
        <v>3500000000</v>
      </c>
      <c r="P25" s="1">
        <v>100</v>
      </c>
      <c r="Q25" s="1">
        <v>100.3605998</v>
      </c>
      <c r="R25" s="1">
        <v>10</v>
      </c>
      <c r="S25" s="1">
        <v>200</v>
      </c>
      <c r="T25" s="1">
        <v>100000000</v>
      </c>
      <c r="U25" s="1">
        <v>2</v>
      </c>
      <c r="V25" s="1" t="s">
        <v>68</v>
      </c>
      <c r="W25" s="1">
        <v>1400</v>
      </c>
      <c r="X25" s="1">
        <v>1048576</v>
      </c>
      <c r="Y25" s="1">
        <v>42</v>
      </c>
      <c r="Z25" s="1">
        <v>4</v>
      </c>
      <c r="AA25" s="3">
        <v>49.890892800000003</v>
      </c>
      <c r="AB25" s="3">
        <v>48.912640000000003</v>
      </c>
      <c r="AC25" s="3">
        <v>171.14151430000001</v>
      </c>
      <c r="AD25" s="3">
        <v>0.34243839700000001</v>
      </c>
      <c r="AE25" s="3">
        <v>0.75543621299999997</v>
      </c>
      <c r="AF25" s="1">
        <v>178571</v>
      </c>
      <c r="AG25" s="1">
        <v>43672</v>
      </c>
      <c r="AH25" s="1">
        <v>62363616</v>
      </c>
      <c r="AI25" s="1">
        <v>134899</v>
      </c>
      <c r="AJ25" s="1" t="s">
        <v>189</v>
      </c>
    </row>
    <row r="26" spans="1:36" ht="22.95" customHeight="1">
      <c r="A26" s="1" t="s">
        <v>61</v>
      </c>
      <c r="B26" s="1">
        <v>5</v>
      </c>
      <c r="C26" s="1" t="s">
        <v>271</v>
      </c>
      <c r="D26" s="1">
        <v>166</v>
      </c>
      <c r="E26" s="1" t="s">
        <v>63</v>
      </c>
      <c r="F26" s="1" t="s">
        <v>272</v>
      </c>
      <c r="G26" s="1" t="s">
        <v>273</v>
      </c>
      <c r="H26" s="1" t="s">
        <v>274</v>
      </c>
      <c r="I26" s="1" t="s">
        <v>67</v>
      </c>
      <c r="J26" s="1">
        <v>0</v>
      </c>
      <c r="K26" s="1">
        <v>120</v>
      </c>
      <c r="L26" s="1">
        <v>120</v>
      </c>
      <c r="M26" s="1">
        <v>360</v>
      </c>
      <c r="N26" s="1">
        <v>-14.456525040000001</v>
      </c>
      <c r="O26" s="1">
        <v>3500000000</v>
      </c>
      <c r="P26" s="1">
        <v>100</v>
      </c>
      <c r="Q26" s="1">
        <v>100.3605998</v>
      </c>
      <c r="R26" s="1">
        <v>10</v>
      </c>
      <c r="S26" s="1">
        <v>200</v>
      </c>
      <c r="T26" s="1">
        <v>100000000</v>
      </c>
      <c r="U26" s="1">
        <v>2</v>
      </c>
      <c r="V26" s="1" t="s">
        <v>68</v>
      </c>
      <c r="W26" s="1">
        <v>1400</v>
      </c>
      <c r="X26" s="1">
        <v>1048576</v>
      </c>
      <c r="Y26" s="1">
        <v>42</v>
      </c>
      <c r="Z26" s="1">
        <v>5</v>
      </c>
      <c r="AA26" s="3">
        <v>49.890892800000003</v>
      </c>
      <c r="AB26" s="3">
        <v>48.912640000000003</v>
      </c>
      <c r="AC26" s="3">
        <v>171.13703169999999</v>
      </c>
      <c r="AD26" s="3">
        <v>0.34277308099999998</v>
      </c>
      <c r="AE26" s="3">
        <v>0.75543621299999997</v>
      </c>
      <c r="AF26" s="1">
        <v>178571</v>
      </c>
      <c r="AG26" s="1">
        <v>43672</v>
      </c>
      <c r="AH26" s="1">
        <v>62363616</v>
      </c>
      <c r="AI26" s="1">
        <v>134899</v>
      </c>
      <c r="AJ26" s="1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Κέρδος</vt:lpstr>
      <vt:lpstr>Προσανατολισμός</vt:lpstr>
      <vt:lpstr>Κέρδος δεδομένα</vt:lpstr>
      <vt:lpstr>Προσανατολισμός δεδομένα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Κωνσταντίνος Μπουντουράσας</cp:lastModifiedBy>
  <dcterms:modified xsi:type="dcterms:W3CDTF">2026-10-13T21:06:32Z</dcterms:modified>
</cp:coreProperties>
</file>