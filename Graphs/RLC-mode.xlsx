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399752ef4d84520" /></Relationships>
</file>

<file path=xl/workbook.xml><?xml version="1.0" encoding="utf-8"?>
<x:workbook xmlns:x="http://schemas.openxmlformats.org/spreadsheetml/2006/main">
  <x:sheets>
    <x:sheet xmlns:r="http://schemas.openxmlformats.org/officeDocument/2006/relationships" name="Σύνοψη" sheetId="1" r:id="R77e18bc65f804214"/>
    <x:sheet xmlns:r="http://schemas.openxmlformats.org/officeDocument/2006/relationships" name="Μετρήσεις" sheetId="2" r:id="Rdb7b43832e4b47b6"/>
  </x:sheets>
</x:workbook>
</file>

<file path=xl/comments1.xml><?xml version="1.0" encoding="utf-8"?>
<x:comments xmlns:x="http://schemas.openxmlformats.org/spreadsheetml/2006/main">
  <x:authors>
    <x:author>tc={07098E1D-7685-4CC7-97CC-043C4597A5CF}</x:author>
    <x:author>tc={E1FDDBC8-B36F-40FF-830F-B19DEA9A6DE6}</x:author>
  </x:authors>
  <x:commentList>
    <x:comment ref="A12" authorId="0">
      <x:text>
        <x:r>
          <x:t>[Threaded comment]
Your version of Excel allows you to read this threaded comment; however, any edits to it will get removed if the file is opened in a newer version of Excel. Learn more: https://go.microsoft.com/fwlink/?linkid=870924
Comment:
    Δεν μελετήθηκε: σταθερή τιμή 5. Η υπέρβαση ενεργοποιεί μόνο log, χωρίς διακοπή αναμεταδόσεων ή απόρριψη PDU. Η απλή μεταβολή της τιμής δεν εφαρμόζει όριο αναμεταδόσεων. Απαιτείται επέκταση και επαλήθευση του NR module.</x:t>
        </x:r>
      </x:text>
    </x:comment>
    <x:comment ref="A16" authorId="1">
      <x:text>
        <x:r>
          <x:t>[Threaded comment]
Your version of Excel allows you to read this threaded comment; however, any edits to it will get removed if the file is opened in a newer version of Excel. Learn more: https://go.microsoft.com/fwlink/?linkid=870924
Comment:
    Δεν μελετήθηκε: στο NrRlcUm η υπέρβαση του ορίου HOL καλεί το TxDrop trace, αλλά το νέο πακέτο προστίθεται στη συνέχεια στο Tx buffer. Δεν υλοποιείται απόρριψη λόγω timer σε αυτόν τον κλάδο. Απαιτείται διόρθωση και επαλήθευση του μηχανισμού.</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0"/>
    <x:numFmt numFmtId="201" formatCode="0.000000"/>
  </x:numFmts>
  <x:fonts count="6">
    <x:font>
      <x:sz val="11"/>
      <x:name val="Carlito"/>
    </x:font>
    <x:font>
      <x:sz val="11"/>
      <x:name val="Arial"/>
    </x:font>
    <x:font>
      <x:b/>
      <x:sz val="11"/>
      <x:color rgb="FFFFFFFF"/>
      <x:name val="Arial"/>
    </x:font>
    <x:font>
      <x:sz val="11"/>
      <x:color rgb="FF203047"/>
      <x:name val="Arial"/>
    </x:font>
    <x:font>
      <x:b/>
      <x:sz val="17"/>
      <x:color rgb="FF203047"/>
      <x:name val="Arial"/>
    </x:font>
    <x:font>
      <x:b/>
      <x:sz val="11"/>
      <x:color rgb="FF203047"/>
      <x:name val="Arial"/>
    </x:font>
  </x:fonts>
  <x:fills count="3">
    <x:fill>
      <x:patternFill patternType="none"/>
    </x:fill>
    <x:fill>
      <x:patternFill patternType="gray125"/>
    </x:fill>
    <x:fill>
      <x:patternFill patternType="solid">
        <x:fgColor rgb="FF234B70"/>
      </x:patternFill>
    </x:fill>
  </x:fills>
  <x:borders count="1">
    <x:border>
      <x:left/>
      <x:right/>
      <x:top/>
      <x:bottom/>
      <x:diagonal/>
    </x:border>
  </x:borders>
  <x:cellStyleXfs count="1">
    <x:xf numFmtId="0" fontId="0" fillId="0" borderId="0"/>
  </x:cellStyleXfs>
  <x:cellXfs count="14">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2" borderId="0" xfId="0" applyNumberFormat="1" applyFont="1" applyFill="1" applyBorder="1"/>
    <x:xf numFmtId="0" fontId="2" fillId="2" borderId="0" xfId="0" applyNumberFormat="1" applyFont="1" applyFill="1" applyBorder="1" applyAlignment="1">
      <x:alignment horizontal="center" wrapText="1"/>
    </x:xf>
    <x:xf numFmtId="201" fontId="3" fillId="0" borderId="0" xfId="0" applyNumberFormat="1" applyFont="1" applyFill="1" applyBorder="1"/>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246f4a384449ff" /><Relationship Type="http://schemas.openxmlformats.org/officeDocument/2006/relationships/theme" Target="/xl/theme/theme1.xml" Id="R8947ab7aa13f4618" /><Relationship Type="http://schemas.microsoft.com/office/2022/11/relationships/FeaturePropertyBag" Target="/xl/featurePropertyBag/featurePropertyBag.xml" Id="R9d6272f281044ed2" /><Relationship Type="http://schemas.openxmlformats.org/officeDocument/2006/relationships/sharedStrings" Target="/xl/sharedStrings.xml" Id="Rcc25e5d144f94448" /><Relationship Type="http://schemas.openxmlformats.org/officeDocument/2006/relationships/worksheet" Target="/xl/worksheets/sheet1.xml" Id="R77e18bc65f804214" /><Relationship Type="http://schemas.openxmlformats.org/officeDocument/2006/relationships/worksheet" Target="/xl/worksheets/sheet2.xml" Id="Rdb7b43832e4b47b6" /><Relationship Type="http://schemas.microsoft.com/office/2017/10/relationships/person" Target="/xl/persons/person.xml" Id="R73a6a9ef127643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a200ea56be45cb" /><Relationship Type="http://schemas.openxmlformats.org/officeDocument/2006/relationships/chart" Target="/xl/drawings/charts/chart2.xml" Id="R55007947a26240ed" /><Relationship Type="http://schemas.openxmlformats.org/officeDocument/2006/relationships/chart" Target="/xl/drawings/charts/chart3.xml" Id="Rd97ee3591dea4864" /><Relationship Type="http://schemas.openxmlformats.org/officeDocument/2006/relationships/chart" Target="/xl/drawings/charts/chart4.xml" Id="Ra29453d6470e40ed" /><Relationship Type="http://schemas.openxmlformats.org/officeDocument/2006/relationships/chart" Target="/xl/drawings/charts/chart5.xml" Id="R41da59366bbb44f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IP throughput (Mbps)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IP throughput (Mbps)</c:v>
          </c:tx>
          <c:spPr>
            <a:solidFill xmlns:a="http://schemas.openxmlformats.org/drawingml/2006/main">
              <a:srgbClr val="246B9B"/>
            </a:solidFill>
          </c:spPr>
          <c:invertIfNegative val="0"/>
          <c:errBars>
            <c:errDir val="y"/>
            <c:errBarType val="both"/>
            <c:errValType val="cust"/>
            <c:noEndCap val="0"/>
            <c:plus>
              <c:numRef>
                <c:f>'Σύνοψη'!$D$7:$D$8</c:f>
                <c:numCache>
                  <c:formatCode>0.000000</c:formatCode>
                  <c:ptCount val="2"/>
                  <c:pt idx="0">
                    <c:v>0</c:v>
                  </c:pt>
                  <c:pt idx="1">
                    <c:v>0</c:v>
                  </c:pt>
                </c:numCache>
              </c:numRef>
            </c:plus>
            <c:minus>
              <c:numRef>
                <c:f>'Σύνοψη'!$D$7:$D$8</c:f>
                <c:numCache>
                  <c:formatCode>0.000000</c:formatCode>
                  <c:ptCount val="2"/>
                  <c:pt idx="0">
                    <c:v>0</c:v>
                  </c:pt>
                  <c:pt idx="1">
                    <c:v>0</c:v>
                  </c:pt>
                </c:numCache>
              </c:numRef>
            </c:minus>
          </c:errBars>
          <c:cat>
            <c:strRef>
              <c:f>'Σύνοψη'!$A$7:$A$8</c:f>
              <c:strCache>
                <c:ptCount val="0"/>
              </c:strCache>
            </c:strRef>
          </c:cat>
          <c:val>
            <c:numRef>
              <c:f>'Σύνοψη'!$C$7:$C$8</c:f>
              <c:numCache>
                <c:formatCode>0.000000</c:formatCode>
                <c:ptCount val="2"/>
                <c:pt idx="0">
                  <c:v>203.9995104</c:v>
                </c:pt>
                <c:pt idx="1">
                  <c:v>203.9995104</c:v>
                </c:pt>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max val="234.59943695999996"/>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Goodput (Mbps)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Goodput (Mbps)</c:v>
          </c:tx>
          <c:spPr>
            <a:solidFill xmlns:a="http://schemas.openxmlformats.org/drawingml/2006/main">
              <a:srgbClr val="246B9B"/>
            </a:solidFill>
          </c:spPr>
          <c:invertIfNegative val="0"/>
          <c:errBars>
            <c:errDir val="y"/>
            <c:errBarType val="both"/>
            <c:errValType val="cust"/>
            <c:noEndCap val="0"/>
            <c:plus>
              <c:numRef>
                <c:f>'Σύνοψη'!$F$7:$F$8</c:f>
                <c:numCache>
                  <c:formatCode>0.000000</c:formatCode>
                  <c:ptCount val="2"/>
                  <c:pt idx="0">
                    <c:v>0</c:v>
                  </c:pt>
                  <c:pt idx="1">
                    <c:v>0</c:v>
                  </c:pt>
                </c:numCache>
              </c:numRef>
            </c:plus>
            <c:minus>
              <c:numRef>
                <c:f>'Σύνοψη'!$F$7:$F$8</c:f>
                <c:numCache>
                  <c:formatCode>0.000000</c:formatCode>
                  <c:ptCount val="2"/>
                  <c:pt idx="0">
                    <c:v>0</c:v>
                  </c:pt>
                  <c:pt idx="1">
                    <c:v>0</c:v>
                  </c:pt>
                </c:numCache>
              </c:numRef>
            </c:minus>
          </c:errBars>
          <c:cat>
            <c:strRef>
              <c:f>'Σύνοψη'!$A$7:$A$8</c:f>
              <c:strCache>
                <c:ptCount val="0"/>
              </c:strCache>
            </c:strRef>
          </c:cat>
          <c:val>
            <c:numRef>
              <c:f>'Σύνοψη'!$E$7:$E$8</c:f>
              <c:numCache>
                <c:formatCode>0.000000</c:formatCode>
                <c:ptCount val="2"/>
                <c:pt idx="0">
                  <c:v>199.99952</c:v>
                </c:pt>
                <c:pt idx="1">
                  <c:v>199.99952</c:v>
                </c:pt>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max val="229.99944799999997"/>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Delay (ms)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Delay (ms)</c:v>
          </c:tx>
          <c:spPr>
            <a:solidFill xmlns:a="http://schemas.openxmlformats.org/drawingml/2006/main">
              <a:srgbClr val="246B9B"/>
            </a:solidFill>
          </c:spPr>
          <c:invertIfNegative val="0"/>
          <c:errBars>
            <c:errDir val="y"/>
            <c:errBarType val="both"/>
            <c:errValType val="cust"/>
            <c:noEndCap val="0"/>
            <c:plus>
              <c:numRef>
                <c:f>'Σύνοψη'!$H$7:$H$8</c:f>
                <c:numCache>
                  <c:formatCode>0.000000</c:formatCode>
                  <c:ptCount val="2"/>
                  <c:pt idx="0">
                    <c:v>0.006946476459642938</c:v>
                  </c:pt>
                  <c:pt idx="1">
                    <c:v>0.0007488574001248579</c:v>
                  </c:pt>
                </c:numCache>
              </c:numRef>
            </c:plus>
            <c:minus>
              <c:numRef>
                <c:f>'Σύνοψη'!$H$7:$H$8</c:f>
                <c:numCache>
                  <c:formatCode>0.000000</c:formatCode>
                  <c:ptCount val="2"/>
                  <c:pt idx="0">
                    <c:v>0.006946476459642938</c:v>
                  </c:pt>
                  <c:pt idx="1">
                    <c:v>0.0007488574001248579</c:v>
                  </c:pt>
                </c:numCache>
              </c:numRef>
            </c:minus>
          </c:errBars>
          <c:cat>
            <c:strRef>
              <c:f>'Σύνοψη'!$A$7:$A$8</c:f>
              <c:strCache>
                <c:ptCount val="0"/>
              </c:strCache>
            </c:strRef>
          </c:cat>
          <c:val>
            <c:numRef>
              <c:f>'Σύνοψη'!$G$7:$G$8</c:f>
              <c:numCache>
                <c:formatCode>0.000000</c:formatCode>
                <c:ptCount val="2"/>
                <c:pt idx="0">
                  <c:v>3.6439386131999996</c:v>
                </c:pt>
                <c:pt idx="1">
                  <c:v>2.8815142158</c:v>
                </c:pt>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max val="4.198517853108589"/>
          <c:min val="0"/>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Loss after drain (%)</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Loss after drain (%)</c:v>
          </c:tx>
          <c:spPr>
            <a:solidFill xmlns:a="http://schemas.openxmlformats.org/drawingml/2006/main">
              <a:srgbClr val="246B9B"/>
            </a:solidFill>
          </c:spPr>
          <c:invertIfNegative val="0"/>
          <c:errBars>
            <c:errDir val="y"/>
            <c:errBarType val="both"/>
            <c:errValType val="cust"/>
            <c:noEndCap val="0"/>
            <c:plus>
              <c:numRef>
                <c:f>'Σύνοψη'!$J$7:$J$8</c:f>
                <c:numCache>
                  <c:formatCode>0.000000</c:formatCode>
                  <c:ptCount val="2"/>
                  <c:pt idx="0">
                    <c:v>0</c:v>
                  </c:pt>
                  <c:pt idx="1">
                    <c:v>0</c:v>
                  </c:pt>
                </c:numCache>
              </c:numRef>
            </c:plus>
            <c:minus>
              <c:numRef>
                <c:f>'Σύνοψη'!$J$7:$J$8</c:f>
                <c:numCache>
                  <c:formatCode>0.000000</c:formatCode>
                  <c:ptCount val="2"/>
                  <c:pt idx="0">
                    <c:v>0</c:v>
                  </c:pt>
                  <c:pt idx="1">
                    <c:v>0</c:v>
                  </c:pt>
                </c:numCache>
              </c:numRef>
            </c:minus>
          </c:errBars>
          <c:cat>
            <c:strRef>
              <c:f>'Σύνοψη'!$A$7:$A$8</c:f>
              <c:strCache>
                <c:ptCount val="0"/>
              </c:strCache>
            </c:strRef>
          </c:cat>
          <c:val>
            <c:numRef>
              <c:f>'Σύνοψη'!$I$7:$I$8</c:f>
              <c:numCache>
                <c:formatCode>0.000000</c:formatCode>
                <c:ptCount val="2"/>
                <c:pt idx="0">
                  <c:v>0</c:v>
                </c:pt>
                <c:pt idx="1">
                  <c:v>0</c:v>
                </c:pt>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Jitter (ms)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Jitter (ms)</c:v>
          </c:tx>
          <c:spPr>
            <a:solidFill xmlns:a="http://schemas.openxmlformats.org/drawingml/2006/main">
              <a:srgbClr val="246B9B"/>
            </a:solidFill>
          </c:spPr>
          <c:invertIfNegative val="0"/>
          <c:errBars>
            <c:errDir val="y"/>
            <c:errBarType val="both"/>
            <c:errValType val="cust"/>
            <c:noEndCap val="0"/>
            <c:plus>
              <c:numRef>
                <c:f>'Σύνοψη'!$L$7:$L$8</c:f>
                <c:numCache>
                  <c:formatCode>0.000000</c:formatCode>
                  <c:ptCount val="2"/>
                  <c:pt idx="0">
                    <c:v>5.7047760672089985e-05</c:v>
                  </c:pt>
                  <c:pt idx="1">
                    <c:v>1.419350475393812e-05</c:v>
                  </c:pt>
                </c:numCache>
              </c:numRef>
            </c:plus>
            <c:minus>
              <c:numRef>
                <c:f>'Σύνοψη'!$L$7:$L$8</c:f>
                <c:numCache>
                  <c:formatCode>0.000000</c:formatCode>
                  <c:ptCount val="2"/>
                  <c:pt idx="0">
                    <c:v>5.7047760672089985e-05</c:v>
                  </c:pt>
                  <c:pt idx="1">
                    <c:v>1.419350475393812e-05</c:v>
                  </c:pt>
                </c:numCache>
              </c:numRef>
            </c:minus>
          </c:errBars>
          <c:cat>
            <c:strRef>
              <c:f>'Σύνοψη'!$A$7:$A$8</c:f>
              <c:strCache>
                <c:ptCount val="0"/>
              </c:strCache>
            </c:strRef>
          </c:cat>
          <c:val>
            <c:numRef>
              <c:f>'Σύνοψη'!$K$7:$K$8</c:f>
              <c:numCache>
                <c:formatCode>0.000000</c:formatCode>
                <c:ptCount val="2"/>
                <c:pt idx="0">
                  <c:v>0.09903217319999999</c:v>
                </c:pt>
                <c:pt idx="1">
                  <c:v>0.0984536308</c:v>
                </c:pt>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max val="0.11395260410477288"/>
          <c:min val="0"/>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a200ea56be45cb"/>
        </a:graphicData>
      </a:graphic>
    </xdr:graphicFrame>
    <xdr:clientData/>
  </xdr:twoCellAnchor>
  <xdr:twoCellAnchor>
    <xdr:from>
      <xdr:col>6</xdr:col>
      <xdr:colOff>0</xdr:colOff>
      <xdr:row>20</xdr:row>
      <xdr:rowOff>0</xdr:rowOff>
    </xdr:from>
    <xdr:to>
      <xdr:col>12</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007947a26240ed"/>
        </a:graphicData>
      </a:graphic>
    </xdr:graphicFrame>
    <xdr:clientData/>
  </xdr:twoCellAnchor>
  <xdr:twoCellAnchor>
    <xdr:from>
      <xdr:col>0</xdr:col>
      <xdr:colOff>0</xdr:colOff>
      <xdr:row>37</xdr:row>
      <xdr:rowOff>0</xdr:rowOff>
    </xdr:from>
    <xdr:to>
      <xdr:col>6</xdr:col>
      <xdr:colOff>0</xdr:colOff>
      <xdr:row>53</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7ee3591dea4864"/>
        </a:graphicData>
      </a:graphic>
    </xdr:graphicFrame>
    <xdr:clientData/>
  </xdr:twoCellAnchor>
  <xdr:twoCellAnchor>
    <xdr:from>
      <xdr:col>6</xdr:col>
      <xdr:colOff>0</xdr:colOff>
      <xdr:row>37</xdr:row>
      <xdr:rowOff>0</xdr:rowOff>
    </xdr:from>
    <xdr:to>
      <xdr:col>12</xdr:col>
      <xdr:colOff>0</xdr:colOff>
      <xdr:row>53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9453d6470e40ed"/>
        </a:graphicData>
      </a:graphic>
    </xdr:graphicFrame>
    <xdr:clientData/>
  </xdr:twoCellAnchor>
  <xdr:twoCellAnchor>
    <xdr:from>
      <xdr:col>0</xdr:col>
      <xdr:colOff>0</xdr:colOff>
      <xdr:row>54</xdr:row>
      <xdr:rowOff>0</xdr:rowOff>
    </xdr:from>
    <xdr:to>
      <xdr:col>6</xdr:col>
      <xdr:colOff>0</xdr:colOff>
      <xdr:row>70</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da59366bbb44f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F550BA63-D5D7-44FC-832F-20D9921FE019}"/>
</xltc:personList>
</file>

<file path=xl/tables/table1.xml><?xml version="1.0" encoding="utf-8"?>
<x:table xmlns:x="http://schemas.openxmlformats.org/spreadsheetml/2006/main" id="1" name="RlcMeasurements" displayName="RlcMeasurements" ref="A1:AO11" headerRowCount="1" totalsRowCount="0" totalsRowShown="0">
  <x:tableColumns count="41">
    <x:tableColumn id="1" name="status"/>
    <x:tableColumn id="2" name="experiment_index"/>
    <x:tableColumn id="3" name="experiment_id"/>
    <x:tableColumn id="4" name="n8n_execution_id"/>
    <x:tableColumn id="5" name="data_source"/>
    <x:tableColumn id="6" name="config_path"/>
    <x:tableColumn id="7" name="results_path"/>
    <x:tableColumn id="8" name="experiment_dir"/>
    <x:tableColumn id="9" name="rlc_mode"/>
    <x:tableColumn id="10" name="scheduler_type"/>
    <x:tableColumn id="11" name="harq_enabled"/>
    <x:tableColumn id="12" name="harq_max_retransmissions"/>
    <x:tableColumn id="13" name="harq_processes"/>
    <x:tableColumn id="14" name="gnb_antenna_model"/>
    <x:tableColumn id="15" name="gnb_antenna_max_gain_dbi"/>
    <x:tableColumn id="16" name="gnb_antenna_orientation_deg"/>
    <x:tableColumn id="17" name="gnb_antenna_horizontal_beamwidth_deg"/>
    <x:tableColumn id="18" name="gnb_antenna_vertical_beamwidth_deg"/>
    <x:tableColumn id="19" name="gnb_antenna_effective_gain_toward_ue_db"/>
    <x:tableColumn id="20" name="carrier_frequency_hz"/>
    <x:tableColumn id="21" name="ue_distance_2d_m"/>
    <x:tableColumn id="22" name="ue_distance_3d_m"/>
    <x:tableColumn id="23" name="ue_tx_power_dbm"/>
    <x:tableColumn id="24" name="offered_load_mbps"/>
    <x:tableColumn id="25" name="bandwidth_hz"/>
    <x:tableColumn id="26" name="numerology"/>
    <x:tableColumn id="27" name="tdd_pattern"/>
    <x:tableColumn id="28" name="packet_size_bytes"/>
    <x:tableColumn id="29" name="rlc_buffer_size_bytes"/>
    <x:tableColumn id="30" name="rng_seed"/>
    <x:tableColumn id="31" name="rng_run"/>
    <x:tableColumn id="32" name="throughput_mbps"/>
    <x:tableColumn id="33" name="app_goodput_mbps"/>
    <x:tableColumn id="34" name="end_to_end_delay_ms"/>
    <x:tableColumn id="35" name="jitter_ms"/>
    <x:tableColumn id="36" name="loss_fraction"/>
    <x:tableColumn id="37" name="tx_packets"/>
    <x:tableColumn id="38" name="rx_packets"/>
    <x:tableColumn id="39" name="ip_rx_bytes"/>
    <x:tableColumn id="40" name="unreceived_packets_after_drain"/>
    <x:tableColumn id="41" name="source_csv"/>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2" dT="2026-10-12T14:53:46.646" personId="{F550BA63-D5D7-44FC-832F-20D9921FE019}" id="{07098E1D-7685-4CC7-97CC-043C4597A5CF}">
    <xltc:text>Δεν μελετήθηκε: σταθερή τιμή 5. Η υπέρβαση ενεργοποιεί μόνο log, χωρίς διακοπή αναμεταδόσεων ή απόρριψη PDU. Η απλή μεταβολή της τιμής δεν εφαρμόζει όριο αναμεταδόσεων. Απαιτείται επέκταση και επαλήθευση του NR module.</xltc:text>
  </xltc:threadedComment>
  <xltc:threadedComment ref="A16" dT="2026-10-12T14:53:46.647" personId="{F550BA63-D5D7-44FC-832F-20D9921FE019}" id="{E1FDDBC8-B36F-40FF-830F-B19DEA9A6DE6}">
    <xltc:text>Δεν μελετήθηκε: στο NrRlcUm η υπέρβαση του ορίου HOL καλεί το TxDrop trace, αλλά το νέο πακέτο προστίθεται στη συνέχεια στο Tx buffer. Δεν υλοποιείται απόρριψη λόγω timer σε αυτόν τον κλάδο. Απαιτείται διόρθωση και επαλήθευση του μηχανισμού.</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a020d6ba51d34d66" /><Relationship Type="http://schemas.openxmlformats.org/officeDocument/2006/relationships/vmlDrawing" Target="/xl/drawings/vmldrawing.vml" Id="R060b2555edca44b1" /><Relationship Type="http://schemas.microsoft.com/office/2017/10/relationships/threadedComment" Target="/xl/threadedcomments/threadedcomment.xml" Id="Rc65c8f245bdf46d5" /><Relationship Type="http://schemas.openxmlformats.org/officeDocument/2006/relationships/drawing" Target="/xl/drawings/drawing1.xml" Id="Rf9ee769615764d08" /></Relationships>
</file>

<file path=xl/worksheets/_rels/sheet2.xml.rels>&#65279;<?xml version="1.0" encoding="utf-8"?><Relationships xmlns="http://schemas.openxmlformats.org/package/2006/relationships"><Relationship Type="http://schemas.openxmlformats.org/officeDocument/2006/relationships/table" Target="/xl/tables/table1.xml" Id="Re699f10df48c46b4"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4" customHeight="1">
      <x:c r="A1" s="8"/>
      <x:c r="B1" s="8"/>
      <x:c r="C1" s="8"/>
      <x:c r="D1" s="8"/>
      <x:c r="E1" s="8"/>
      <x:c r="F1" s="8"/>
      <x:c r="G1" s="8"/>
      <x:c r="H1" s="8"/>
      <x:c r="I1" s="8"/>
      <x:c r="J1" s="8"/>
      <x:c r="K1" s="8"/>
      <x:c r="L1" s="8"/>
    </x:row>
    <x:row r="2" ht="24" customHeight="1">
      <x:c r="A2" s="9" t="str">
        <x:v>RLC mode: UM / AM</x:v>
      </x:c>
      <x:c r="B2" s="8"/>
      <x:c r="C2" s="8"/>
      <x:c r="D2" s="8"/>
      <x:c r="E2" s="8"/>
      <x:c r="F2" s="8"/>
      <x:c r="G2" s="8"/>
      <x:c r="H2" s="8"/>
      <x:c r="I2" s="8"/>
      <x:c r="J2" s="8"/>
      <x:c r="K2" s="8"/>
      <x:c r="L2" s="8"/>
    </x:row>
    <x:row r="3" ht="24" customHeight="1">
      <x:c r="A3" s="8"/>
      <x:c r="B3" s="8"/>
      <x:c r="C3" s="8"/>
      <x:c r="D3" s="8"/>
      <x:c r="E3" s="8"/>
      <x:c r="F3" s="8"/>
      <x:c r="G3" s="8"/>
      <x:c r="H3" s="8"/>
      <x:c r="I3" s="8"/>
      <x:c r="J3" s="8"/>
      <x:c r="K3" s="8"/>
      <x:c r="L3" s="8"/>
    </x:row>
    <x:row r="4" ht="24" customHeight="1">
      <x:c r="A4" s="8" t="str">
        <x:v>10 επιτυχείς προσομοιώσεις. Seed 42, runs 1–5. Μέσος όρος και δειγματική τυπική απόκλιση (SD).</x:v>
      </x:c>
      <x:c r="B4" s="8"/>
      <x:c r="C4" s="8"/>
      <x:c r="D4" s="8"/>
      <x:c r="E4" s="8"/>
      <x:c r="F4" s="8"/>
      <x:c r="G4" s="8"/>
      <x:c r="H4" s="8"/>
      <x:c r="I4" s="8"/>
      <x:c r="J4" s="8"/>
      <x:c r="K4" s="8"/>
      <x:c r="L4" s="8"/>
    </x:row>
    <x:row r="5" ht="24" customHeight="1">
      <x:c r="A5" s="8"/>
      <x:c r="B5" s="8"/>
      <x:c r="C5" s="8"/>
      <x:c r="D5" s="8"/>
      <x:c r="E5" s="8"/>
      <x:c r="F5" s="8"/>
      <x:c r="G5" s="8"/>
      <x:c r="H5" s="8"/>
      <x:c r="I5" s="8"/>
      <x:c r="J5" s="8"/>
      <x:c r="K5" s="8"/>
      <x:c r="L5" s="8"/>
    </x:row>
    <x:row r="6" ht="60" customHeight="1">
      <x:c r="A6" s="11" t="str">
        <x:v>RLC mode</x:v>
      </x:c>
      <x:c r="B6" s="11" t="str">
        <x:v>n</x:v>
      </x:c>
      <x:c r="C6" s="11" t="str">
        <x:v>IP throughput (Mbps)</x:v>
      </x:c>
      <x:c r="D6" s="11" t="str">
        <x:v>SD (Mbps)</x:v>
      </x:c>
      <x:c r="E6" s="11" t="str">
        <x:v>Goodput (Mbps)</x:v>
      </x:c>
      <x:c r="F6" s="11" t="str">
        <x:v>SD (Mbps)</x:v>
      </x:c>
      <x:c r="G6" s="11" t="str">
        <x:v>Delay (ms)</x:v>
      </x:c>
      <x:c r="H6" s="11" t="str">
        <x:v>SD (ms)</x:v>
      </x:c>
      <x:c r="I6" s="11" t="str">
        <x:v>Loss after drain (%)</x:v>
      </x:c>
      <x:c r="J6" s="11" t="str">
        <x:v>SD (ποσ. μον.)</x:v>
      </x:c>
      <x:c r="K6" s="11" t="str">
        <x:v>Jitter (ms)</x:v>
      </x:c>
      <x:c r="L6" s="11" t="str">
        <x:v>SD (ms)</x:v>
      </x:c>
    </x:row>
    <x:row r="7" ht="24" customHeight="1">
      <x:c r="A7" s="8" t="str">
        <x:v>UM</x:v>
      </x:c>
      <x:c r="B7" s="8" t="n">
        <x:f>COUNT('Μετρήσεις'!AE2:AE6)</x:f>
        <x:v>5</x:v>
      </x:c>
      <x:c r="C7" s="12" t="n">
        <x:f>AVERAGE('Μετρήσεις'!AF2:AF6)*1</x:f>
        <x:v>203.9995104</x:v>
      </x:c>
      <x:c r="D7" s="12" t="n">
        <x:f>STDEV('Μετρήσεις'!AF2:AF6)*1</x:f>
        <x:v>0</x:v>
      </x:c>
      <x:c r="E7" s="12" t="n">
        <x:f>AVERAGE('Μετρήσεις'!AG2:AG6)*1</x:f>
        <x:v>199.99952</x:v>
      </x:c>
      <x:c r="F7" s="12" t="n">
        <x:f>STDEV('Μετρήσεις'!AG2:AG6)*1</x:f>
        <x:v>0</x:v>
      </x:c>
      <x:c r="G7" s="12" t="n">
        <x:f>AVERAGE('Μετρήσεις'!AH2:AH6)*1</x:f>
        <x:v>3.6439386131999996</x:v>
      </x:c>
      <x:c r="H7" s="12" t="n">
        <x:f>STDEV('Μετρήσεις'!AH2:AH6)*1</x:f>
        <x:v>0.006946476459642938</x:v>
      </x:c>
      <x:c r="I7" s="12" t="n">
        <x:f>AVERAGE('Μετρήσεις'!AJ2:AJ6)*100</x:f>
        <x:v>0</x:v>
      </x:c>
      <x:c r="J7" s="12" t="n">
        <x:f>STDEV('Μετρήσεις'!AJ2:AJ6)*100</x:f>
        <x:v>0</x:v>
      </x:c>
      <x:c r="K7" s="12" t="n">
        <x:f>AVERAGE('Μετρήσεις'!AI2:AI6)*1</x:f>
        <x:v>0.09903217319999999</x:v>
      </x:c>
      <x:c r="L7" s="12" t="n">
        <x:f>STDEV('Μετρήσεις'!AI2:AI6)*1</x:f>
        <x:v>0.000057047760672089985</x:v>
      </x:c>
    </x:row>
    <x:row r="8" ht="24" customHeight="1">
      <x:c r="A8" s="8" t="str">
        <x:v>AM</x:v>
      </x:c>
      <x:c r="B8" s="8" t="n">
        <x:f>COUNT('Μετρήσεις'!AE7:AE11)</x:f>
        <x:v>5</x:v>
      </x:c>
      <x:c r="C8" s="12" t="n">
        <x:f>AVERAGE('Μετρήσεις'!AF7:AF11)*1</x:f>
        <x:v>203.9995104</x:v>
      </x:c>
      <x:c r="D8" s="12" t="n">
        <x:f>STDEV('Μετρήσεις'!AF7:AF11)*1</x:f>
        <x:v>0</x:v>
      </x:c>
      <x:c r="E8" s="12" t="n">
        <x:f>AVERAGE('Μετρήσεις'!AG7:AG11)*1</x:f>
        <x:v>199.99952</x:v>
      </x:c>
      <x:c r="F8" s="12" t="n">
        <x:f>STDEV('Μετρήσεις'!AG7:AG11)*1</x:f>
        <x:v>0</x:v>
      </x:c>
      <x:c r="G8" s="12" t="n">
        <x:f>AVERAGE('Μετρήσεις'!AH7:AH11)*1</x:f>
        <x:v>2.8815142158</x:v>
      </x:c>
      <x:c r="H8" s="12" t="n">
        <x:f>STDEV('Μετρήσεις'!AH7:AH11)*1</x:f>
        <x:v>0.0007488574001248579</x:v>
      </x:c>
      <x:c r="I8" s="12" t="n">
        <x:f>AVERAGE('Μετρήσεις'!AJ7:AJ11)*100</x:f>
        <x:v>0</x:v>
      </x:c>
      <x:c r="J8" s="12" t="n">
        <x:f>STDEV('Μετρήσεις'!AJ7:AJ11)*100</x:f>
        <x:v>0</x:v>
      </x:c>
      <x:c r="K8" s="12" t="n">
        <x:f>AVERAGE('Μετρήσεις'!AI7:AI11)*1</x:f>
        <x:v>0.0984536308</x:v>
      </x:c>
      <x:c r="L8" s="12" t="n">
        <x:f>STDEV('Μετρήσεις'!AI7:AI11)*1</x:f>
        <x:v>0.00001419350475393812</x:v>
      </x:c>
    </x:row>
    <x:row r="9" ht="24" customHeight="1">
      <x:c r="A9" s="8"/>
      <x:c r="B9" s="8"/>
      <x:c r="C9" s="8"/>
      <x:c r="D9" s="8"/>
      <x:c r="E9" s="8"/>
      <x:c r="F9" s="8"/>
      <x:c r="G9" s="8"/>
      <x:c r="H9" s="8"/>
      <x:c r="I9" s="8"/>
      <x:c r="J9" s="8"/>
      <x:c r="K9" s="8"/>
      <x:c r="L9" s="8"/>
    </x:row>
    <x:row r="10" ht="24" customHeight="1">
      <x:c r="A10" s="8" t="str">
        <x:v>Γραφήματα: μέσος όρος ±1 SD, όχι διάστημα εμπιστοσύνης. Μηδενική SD: η μπάρα δεν διακρίνεται.</x:v>
      </x:c>
      <x:c r="B10" s="8"/>
      <x:c r="C10" s="8"/>
      <x:c r="D10" s="8"/>
      <x:c r="E10" s="8"/>
      <x:c r="F10" s="8"/>
      <x:c r="G10" s="8"/>
      <x:c r="H10" s="8"/>
      <x:c r="I10" s="8"/>
      <x:c r="J10" s="8"/>
      <x:c r="K10" s="8"/>
      <x:c r="L10" s="8"/>
    </x:row>
    <x:row r="11" ht="24" customHeight="1">
      <x:c r="A11" s="8"/>
      <x:c r="B11" s="8"/>
      <x:c r="C11" s="8"/>
      <x:c r="D11" s="8"/>
      <x:c r="E11" s="8"/>
      <x:c r="F11" s="8"/>
      <x:c r="G11" s="8"/>
      <x:c r="H11" s="8"/>
      <x:c r="I11" s="8"/>
      <x:c r="J11" s="8"/>
      <x:c r="K11" s="8"/>
      <x:c r="L11" s="8"/>
    </x:row>
    <x:row r="12" ht="24" customHeight="1">
      <x:c r="A12" s="13" t="str">
        <x:v>RLC AM Max Retx Threshold</x:v>
      </x:c>
      <x:c r="B12" s="8"/>
      <x:c r="C12" s="8"/>
      <x:c r="D12" s="8"/>
      <x:c r="E12" s="8"/>
      <x:c r="F12" s="8"/>
      <x:c r="G12" s="8"/>
      <x:c r="H12" s="8"/>
      <x:c r="I12" s="8"/>
      <x:c r="J12" s="8"/>
      <x:c r="K12" s="8"/>
      <x:c r="L12" s="8"/>
    </x:row>
    <x:row r="13" ht="24" customHeight="1">
      <x:c r="A13" s="8" t="str">
        <x:v>Δεν μελετήθηκε: σταθερή τιμή 5. Η υπέρβαση προκαλεί μόνο log, χωρίς διακοπή αναμεταδόσεων ή απόρριψη PDU.</x:v>
      </x:c>
      <x:c r="B13" s="8"/>
      <x:c r="C13" s="8"/>
      <x:c r="D13" s="8"/>
      <x:c r="E13" s="8"/>
      <x:c r="F13" s="8"/>
      <x:c r="G13" s="8"/>
      <x:c r="H13" s="8"/>
      <x:c r="I13" s="8"/>
      <x:c r="J13" s="8"/>
      <x:c r="K13" s="8"/>
      <x:c r="L13" s="8"/>
    </x:row>
    <x:row r="14" ht="24" customHeight="1">
      <x:c r="A14" s="8" t="str">
        <x:v>Η απλή μεταβολή δεν εφαρμόζει όριο αναμεταδόσεων. Απαιτείται επέκταση και επαλήθευση του NR module.</x:v>
      </x:c>
      <x:c r="B14" s="8"/>
      <x:c r="C14" s="8"/>
      <x:c r="D14" s="8"/>
      <x:c r="E14" s="8"/>
      <x:c r="F14" s="8"/>
      <x:c r="G14" s="8"/>
      <x:c r="H14" s="8"/>
      <x:c r="I14" s="8"/>
      <x:c r="J14" s="8"/>
      <x:c r="K14" s="8"/>
      <x:c r="L14" s="8"/>
    </x:row>
    <x:row r="15" ht="24" customHeight="1">
      <x:c r="A15" s="8"/>
      <x:c r="B15" s="8"/>
      <x:c r="C15" s="8"/>
      <x:c r="D15" s="8"/>
      <x:c r="E15" s="8"/>
      <x:c r="F15" s="8"/>
      <x:c r="G15" s="8"/>
      <x:c r="H15" s="8"/>
      <x:c r="I15" s="8"/>
      <x:c r="J15" s="8"/>
      <x:c r="K15" s="8"/>
      <x:c r="L15" s="8"/>
    </x:row>
    <x:row r="16" ht="24" customHeight="1">
      <x:c r="A16" s="13" t="str">
        <x:v>RLC SDU Discard Timer</x:v>
      </x:c>
      <x:c r="B16" s="8"/>
      <x:c r="C16" s="8"/>
      <x:c r="D16" s="8"/>
      <x:c r="E16" s="8"/>
      <x:c r="F16" s="8"/>
      <x:c r="G16" s="8"/>
      <x:c r="H16" s="8"/>
      <x:c r="I16" s="8"/>
      <x:c r="J16" s="8"/>
      <x:c r="K16" s="8"/>
      <x:c r="L16" s="8"/>
    </x:row>
    <x:row r="17" ht="24" customHeight="1">
      <x:c r="A17" s="8" t="str">
        <x:v>Δεν μελετήθηκε: η υπέρβαση HOL ενεργοποιεί TxDrop trace, αλλά το νέο πακέτο προστίθεται κανονικά στο buffer.</x:v>
      </x:c>
      <x:c r="B17" s="8"/>
      <x:c r="C17" s="8"/>
      <x:c r="D17" s="8"/>
      <x:c r="E17" s="8"/>
      <x:c r="F17" s="8"/>
      <x:c r="G17" s="8"/>
      <x:c r="H17" s="8"/>
      <x:c r="I17" s="8"/>
      <x:c r="J17" s="8"/>
      <x:c r="K17" s="8"/>
      <x:c r="L17" s="8"/>
    </x:row>
    <x:row r="18" ht="24" customHeight="1">
      <x:c r="A18" s="8" t="str">
        <x:v>Δεν υλοποιείται απόρριψη λόγω timer σε αυτόν τον κλάδο. Απαιτείται διόρθωση και επαλήθευση του μηχανισμού.</x:v>
      </x:c>
      <x:c r="B18" s="8"/>
      <x:c r="C18" s="8"/>
      <x:c r="D18" s="8"/>
      <x:c r="E18" s="8"/>
      <x:c r="F18" s="8"/>
      <x:c r="G18" s="8"/>
      <x:c r="H18" s="8"/>
      <x:c r="I18" s="8"/>
      <x:c r="J18" s="8"/>
      <x:c r="K18" s="8"/>
      <x:c r="L18" s="8"/>
    </x:row>
    <x:row r="19" ht="24" customHeight="1">
      <x:c r="A19" s="8"/>
      <x:c r="B19" s="8"/>
      <x:c r="C19" s="8"/>
      <x:c r="D19" s="8"/>
      <x:c r="E19" s="8"/>
      <x:c r="F19" s="8"/>
      <x:c r="G19" s="8"/>
      <x:c r="H19" s="8"/>
      <x:c r="I19" s="8"/>
      <x:c r="J19" s="8"/>
      <x:c r="K19" s="8"/>
      <x:c r="L19" s="8"/>
    </x:row>
    <x:row r="20" ht="24" customHeight="1">
      <x:c r="A20" s="8"/>
      <x:c r="B20" s="8"/>
      <x:c r="C20" s="8"/>
      <x:c r="D20" s="8"/>
      <x:c r="E20" s="8"/>
      <x:c r="F20" s="8"/>
      <x:c r="G20" s="8"/>
      <x:c r="H20" s="8"/>
      <x:c r="I20" s="8"/>
      <x:c r="J20" s="8"/>
      <x:c r="K20" s="8"/>
      <x:c r="L20" s="8"/>
    </x:row>
    <x:row r="21" ht="24" customHeight="1">
      <x:c r="A21" s="8"/>
      <x:c r="B21" s="8"/>
      <x:c r="C21" s="8"/>
      <x:c r="D21" s="8"/>
      <x:c r="E21" s="8"/>
      <x:c r="F21" s="8"/>
      <x:c r="G21" s="8"/>
      <x:c r="H21" s="8"/>
      <x:c r="I21" s="8"/>
      <x:c r="J21" s="8"/>
      <x:c r="K21" s="8"/>
      <x:c r="L21" s="8"/>
    </x:row>
    <x:row r="22" ht="24" customHeight="1">
      <x:c r="A22" s="8"/>
      <x:c r="B22" s="8"/>
      <x:c r="C22" s="8"/>
      <x:c r="D22" s="8"/>
      <x:c r="E22" s="8"/>
      <x:c r="F22" s="8"/>
      <x:c r="G22" s="8"/>
      <x:c r="H22" s="8"/>
      <x:c r="I22" s="8"/>
      <x:c r="J22" s="8"/>
      <x:c r="K22" s="8"/>
      <x:c r="L22" s="8"/>
    </x:row>
    <x:row r="23" ht="24" customHeight="1">
      <x:c r="A23" s="8"/>
      <x:c r="B23" s="8"/>
      <x:c r="C23" s="8"/>
      <x:c r="D23" s="8"/>
      <x:c r="E23" s="8"/>
      <x:c r="F23" s="8"/>
      <x:c r="G23" s="8"/>
      <x:c r="H23" s="8"/>
      <x:c r="I23" s="8"/>
      <x:c r="J23" s="8"/>
      <x:c r="K23" s="8"/>
      <x:c r="L23" s="8"/>
    </x:row>
    <x:row r="24" ht="24" customHeight="1">
      <x:c r="A24" s="8"/>
      <x:c r="B24" s="8"/>
      <x:c r="C24" s="8"/>
      <x:c r="D24" s="8"/>
      <x:c r="E24" s="8"/>
      <x:c r="F24" s="8"/>
      <x:c r="G24" s="8"/>
      <x:c r="H24" s="8"/>
      <x:c r="I24" s="8"/>
      <x:c r="J24" s="8"/>
      <x:c r="K24" s="8"/>
      <x:c r="L24" s="8"/>
    </x:row>
    <x:row r="25" ht="24" customHeight="1">
      <x:c r="A25" s="8"/>
      <x:c r="B25" s="8"/>
      <x:c r="C25" s="8"/>
      <x:c r="D25" s="8"/>
      <x:c r="E25" s="8"/>
      <x:c r="F25" s="8"/>
      <x:c r="G25" s="8"/>
      <x:c r="H25" s="8"/>
      <x:c r="I25" s="8"/>
      <x:c r="J25" s="8"/>
      <x:c r="K25" s="8"/>
      <x:c r="L25" s="8"/>
    </x:row>
    <x:row r="26" ht="24" customHeight="1">
      <x:c r="A26" s="8"/>
      <x:c r="B26" s="8"/>
      <x:c r="C26" s="8"/>
      <x:c r="D26" s="8"/>
      <x:c r="E26" s="8"/>
      <x:c r="F26" s="8"/>
      <x:c r="G26" s="8"/>
      <x:c r="H26" s="8"/>
      <x:c r="I26" s="8"/>
      <x:c r="J26" s="8"/>
      <x:c r="K26" s="8"/>
      <x:c r="L26" s="8"/>
    </x:row>
    <x:row r="27" ht="24" customHeight="1">
      <x:c r="A27" s="8"/>
      <x:c r="B27" s="8"/>
      <x:c r="C27" s="8"/>
      <x:c r="D27" s="8"/>
      <x:c r="E27" s="8"/>
      <x:c r="F27" s="8"/>
      <x:c r="G27" s="8"/>
      <x:c r="H27" s="8"/>
      <x:c r="I27" s="8"/>
      <x:c r="J27" s="8"/>
      <x:c r="K27" s="8"/>
      <x:c r="L27" s="8"/>
    </x:row>
    <x:row r="28" ht="24" customHeight="1">
      <x:c r="A28" s="8"/>
      <x:c r="B28" s="8"/>
      <x:c r="C28" s="8"/>
      <x:c r="D28" s="8"/>
      <x:c r="E28" s="8"/>
      <x:c r="F28" s="8"/>
      <x:c r="G28" s="8"/>
      <x:c r="H28" s="8"/>
      <x:c r="I28" s="8"/>
      <x:c r="J28" s="8"/>
      <x:c r="K28" s="8"/>
      <x:c r="L28" s="8"/>
    </x:row>
    <x:row r="29" ht="24" customHeight="1">
      <x:c r="A29" s="8"/>
      <x:c r="B29" s="8"/>
      <x:c r="C29" s="8"/>
      <x:c r="D29" s="8"/>
      <x:c r="E29" s="8"/>
      <x:c r="F29" s="8"/>
      <x:c r="G29" s="8"/>
      <x:c r="H29" s="8"/>
      <x:c r="I29" s="8"/>
      <x:c r="J29" s="8"/>
      <x:c r="K29" s="8"/>
      <x:c r="L29" s="8"/>
    </x:row>
    <x:row r="30" ht="24" customHeight="1">
      <x:c r="A30" s="8"/>
      <x:c r="B30" s="8"/>
      <x:c r="C30" s="8"/>
      <x:c r="D30" s="8"/>
      <x:c r="E30" s="8"/>
      <x:c r="F30" s="8"/>
      <x:c r="G30" s="8"/>
      <x:c r="H30" s="8"/>
      <x:c r="I30" s="8"/>
      <x:c r="J30" s="8"/>
      <x:c r="K30" s="8"/>
      <x:c r="L30" s="8"/>
    </x:row>
    <x:row r="31" ht="24" customHeight="1">
      <x:c r="A31" s="8"/>
      <x:c r="B31" s="8"/>
      <x:c r="C31" s="8"/>
      <x:c r="D31" s="8"/>
      <x:c r="E31" s="8"/>
      <x:c r="F31" s="8"/>
      <x:c r="G31" s="8"/>
      <x:c r="H31" s="8"/>
      <x:c r="I31" s="8"/>
      <x:c r="J31" s="8"/>
      <x:c r="K31" s="8"/>
      <x:c r="L31" s="8"/>
    </x:row>
    <x:row r="32" ht="24" customHeight="1">
      <x:c r="A32" s="8"/>
      <x:c r="B32" s="8"/>
      <x:c r="C32" s="8"/>
      <x:c r="D32" s="8"/>
      <x:c r="E32" s="8"/>
      <x:c r="F32" s="8"/>
      <x:c r="G32" s="8"/>
      <x:c r="H32" s="8"/>
      <x:c r="I32" s="8"/>
      <x:c r="J32" s="8"/>
      <x:c r="K32" s="8"/>
      <x:c r="L32" s="8"/>
    </x:row>
    <x:row r="33" ht="24" customHeight="1">
      <x:c r="A33" s="8"/>
      <x:c r="B33" s="8"/>
      <x:c r="C33" s="8"/>
      <x:c r="D33" s="8"/>
      <x:c r="E33" s="8"/>
      <x:c r="F33" s="8"/>
      <x:c r="G33" s="8"/>
      <x:c r="H33" s="8"/>
      <x:c r="I33" s="8"/>
      <x:c r="J33" s="8"/>
      <x:c r="K33" s="8"/>
      <x:c r="L33" s="8"/>
    </x:row>
    <x:row r="34" ht="24" customHeight="1">
      <x:c r="A34" s="8"/>
      <x:c r="B34" s="8"/>
      <x:c r="C34" s="8"/>
      <x:c r="D34" s="8"/>
      <x:c r="E34" s="8"/>
      <x:c r="F34" s="8"/>
      <x:c r="G34" s="8"/>
      <x:c r="H34" s="8"/>
      <x:c r="I34" s="8"/>
      <x:c r="J34" s="8"/>
      <x:c r="K34" s="8"/>
      <x:c r="L34" s="8"/>
    </x:row>
    <x:row r="35" ht="24" customHeight="1">
      <x:c r="A35" s="8"/>
      <x:c r="B35" s="8"/>
      <x:c r="C35" s="8"/>
      <x:c r="D35" s="8"/>
      <x:c r="E35" s="8"/>
      <x:c r="F35" s="8"/>
      <x:c r="G35" s="8"/>
      <x:c r="H35" s="8"/>
      <x:c r="I35" s="8"/>
      <x:c r="J35" s="8"/>
      <x:c r="K35" s="8"/>
      <x:c r="L35" s="8"/>
    </x:row>
    <x:row r="36" ht="24" customHeight="1">
      <x:c r="A36" s="8"/>
      <x:c r="B36" s="8"/>
      <x:c r="C36" s="8"/>
      <x:c r="D36" s="8"/>
      <x:c r="E36" s="8"/>
      <x:c r="F36" s="8"/>
      <x:c r="G36" s="8"/>
      <x:c r="H36" s="8"/>
      <x:c r="I36" s="8"/>
      <x:c r="J36" s="8"/>
      <x:c r="K36" s="8"/>
      <x:c r="L36" s="8"/>
    </x:row>
    <x:row r="37" ht="24" customHeight="1">
      <x:c r="A37" s="8"/>
      <x:c r="B37" s="8"/>
      <x:c r="C37" s="8"/>
      <x:c r="D37" s="8"/>
      <x:c r="E37" s="8"/>
      <x:c r="F37" s="8"/>
      <x:c r="G37" s="8"/>
      <x:c r="H37" s="8"/>
      <x:c r="I37" s="8"/>
      <x:c r="J37" s="8"/>
      <x:c r="K37" s="8"/>
      <x:c r="L37" s="8"/>
    </x:row>
    <x:row r="38" ht="24" customHeight="1">
      <x:c r="A38" s="8"/>
      <x:c r="B38" s="8"/>
      <x:c r="C38" s="8"/>
      <x:c r="D38" s="8"/>
      <x:c r="E38" s="8"/>
      <x:c r="F38" s="8"/>
      <x:c r="G38" s="8"/>
      <x:c r="H38" s="8"/>
      <x:c r="I38" s="8"/>
      <x:c r="J38" s="8"/>
      <x:c r="K38" s="8"/>
      <x:c r="L38" s="8"/>
    </x:row>
    <x:row r="39" ht="24" customHeight="1">
      <x:c r="A39" s="8"/>
      <x:c r="B39" s="8"/>
      <x:c r="C39" s="8"/>
      <x:c r="D39" s="8"/>
      <x:c r="E39" s="8"/>
      <x:c r="F39" s="8"/>
      <x:c r="G39" s="8"/>
      <x:c r="H39" s="8"/>
      <x:c r="I39" s="8"/>
      <x:c r="J39" s="8"/>
      <x:c r="K39" s="8"/>
      <x:c r="L39" s="8"/>
    </x:row>
    <x:row r="40" ht="24" customHeight="1">
      <x:c r="A40" s="8"/>
      <x:c r="B40" s="8"/>
      <x:c r="C40" s="8"/>
      <x:c r="D40" s="8"/>
      <x:c r="E40" s="8"/>
      <x:c r="F40" s="8"/>
      <x:c r="G40" s="8"/>
      <x:c r="H40" s="8"/>
      <x:c r="I40" s="8"/>
      <x:c r="J40" s="8"/>
      <x:c r="K40" s="8"/>
      <x:c r="L40" s="8"/>
    </x:row>
    <x:row r="41" ht="24" customHeight="1">
      <x:c r="A41" s="8"/>
      <x:c r="B41" s="8"/>
      <x:c r="C41" s="8"/>
      <x:c r="D41" s="8"/>
      <x:c r="E41" s="8"/>
      <x:c r="F41" s="8"/>
      <x:c r="G41" s="8"/>
      <x:c r="H41" s="8"/>
      <x:c r="I41" s="8"/>
      <x:c r="J41" s="8"/>
      <x:c r="K41" s="8"/>
      <x:c r="L41" s="8"/>
    </x:row>
    <x:row r="42" ht="24" customHeight="1">
      <x:c r="A42" s="8"/>
      <x:c r="B42" s="8"/>
      <x:c r="C42" s="8"/>
      <x:c r="D42" s="8"/>
      <x:c r="E42" s="8"/>
      <x:c r="F42" s="8"/>
      <x:c r="G42" s="8"/>
      <x:c r="H42" s="8"/>
      <x:c r="I42" s="8"/>
      <x:c r="J42" s="8"/>
      <x:c r="K42" s="8"/>
      <x:c r="L42" s="8"/>
    </x:row>
    <x:row r="43" ht="24" customHeight="1">
      <x:c r="A43" s="8"/>
      <x:c r="B43" s="8"/>
      <x:c r="C43" s="8"/>
      <x:c r="D43" s="8"/>
      <x:c r="E43" s="8"/>
      <x:c r="F43" s="8"/>
      <x:c r="G43" s="8"/>
      <x:c r="H43" s="8"/>
      <x:c r="I43" s="8"/>
      <x:c r="J43" s="8"/>
      <x:c r="K43" s="8"/>
      <x:c r="L43" s="8"/>
    </x:row>
    <x:row r="44" ht="24" customHeight="1">
      <x:c r="A44" s="8"/>
      <x:c r="B44" s="8"/>
      <x:c r="C44" s="8"/>
      <x:c r="D44" s="8"/>
      <x:c r="E44" s="8"/>
      <x:c r="F44" s="8"/>
      <x:c r="G44" s="8"/>
      <x:c r="H44" s="8"/>
      <x:c r="I44" s="8"/>
      <x:c r="J44" s="8"/>
      <x:c r="K44" s="8"/>
      <x:c r="L44" s="8"/>
    </x:row>
    <x:row r="45" ht="24" customHeight="1">
      <x:c r="A45" s="8"/>
      <x:c r="B45" s="8"/>
      <x:c r="C45" s="8"/>
      <x:c r="D45" s="8"/>
      <x:c r="E45" s="8"/>
      <x:c r="F45" s="8"/>
      <x:c r="G45" s="8"/>
      <x:c r="H45" s="8"/>
      <x:c r="I45" s="8"/>
      <x:c r="J45" s="8"/>
      <x:c r="K45" s="8"/>
      <x:c r="L45" s="8"/>
    </x:row>
    <x:row r="46" ht="24" customHeight="1">
      <x:c r="A46" s="8"/>
      <x:c r="B46" s="8"/>
      <x:c r="C46" s="8"/>
      <x:c r="D46" s="8"/>
      <x:c r="E46" s="8"/>
      <x:c r="F46" s="8"/>
      <x:c r="G46" s="8"/>
      <x:c r="H46" s="8"/>
      <x:c r="I46" s="8"/>
      <x:c r="J46" s="8"/>
      <x:c r="K46" s="8"/>
      <x:c r="L46" s="8"/>
    </x:row>
    <x:row r="47" ht="24" customHeight="1">
      <x:c r="A47" s="8"/>
      <x:c r="B47" s="8"/>
      <x:c r="C47" s="8"/>
      <x:c r="D47" s="8"/>
      <x:c r="E47" s="8"/>
      <x:c r="F47" s="8"/>
      <x:c r="G47" s="8"/>
      <x:c r="H47" s="8"/>
      <x:c r="I47" s="8"/>
      <x:c r="J47" s="8"/>
      <x:c r="K47" s="8"/>
      <x:c r="L47" s="8"/>
    </x:row>
    <x:row r="48" ht="24" customHeight="1">
      <x:c r="A48" s="8"/>
      <x:c r="B48" s="8"/>
      <x:c r="C48" s="8"/>
      <x:c r="D48" s="8"/>
      <x:c r="E48" s="8"/>
      <x:c r="F48" s="8"/>
      <x:c r="G48" s="8"/>
      <x:c r="H48" s="8"/>
      <x:c r="I48" s="8"/>
      <x:c r="J48" s="8"/>
      <x:c r="K48" s="8"/>
      <x:c r="L48" s="8"/>
    </x:row>
    <x:row r="49" ht="24" customHeight="1">
      <x:c r="A49" s="8"/>
      <x:c r="B49" s="8"/>
      <x:c r="C49" s="8"/>
      <x:c r="D49" s="8"/>
      <x:c r="E49" s="8"/>
      <x:c r="F49" s="8"/>
      <x:c r="G49" s="8"/>
      <x:c r="H49" s="8"/>
      <x:c r="I49" s="8"/>
      <x:c r="J49" s="8"/>
      <x:c r="K49" s="8"/>
      <x:c r="L49" s="8"/>
    </x:row>
    <x:row r="50" ht="24" customHeight="1">
      <x:c r="A50" s="8"/>
      <x:c r="B50" s="8"/>
      <x:c r="C50" s="8"/>
      <x:c r="D50" s="8"/>
      <x:c r="E50" s="8"/>
      <x:c r="F50" s="8"/>
      <x:c r="G50" s="8"/>
      <x:c r="H50" s="8"/>
      <x:c r="I50" s="8"/>
      <x:c r="J50" s="8"/>
      <x:c r="K50" s="8"/>
      <x:c r="L50" s="8"/>
    </x:row>
    <x:row r="51" ht="24" customHeight="1">
      <x:c r="A51" s="8"/>
      <x:c r="B51" s="8"/>
      <x:c r="C51" s="8"/>
      <x:c r="D51" s="8"/>
      <x:c r="E51" s="8"/>
      <x:c r="F51" s="8"/>
      <x:c r="G51" s="8"/>
      <x:c r="H51" s="8"/>
      <x:c r="I51" s="8"/>
      <x:c r="J51" s="8"/>
      <x:c r="K51" s="8"/>
      <x:c r="L51" s="8"/>
    </x:row>
    <x:row r="52" ht="24" customHeight="1">
      <x:c r="A52" s="8"/>
      <x:c r="B52" s="8"/>
      <x:c r="C52" s="8"/>
      <x:c r="D52" s="8"/>
      <x:c r="E52" s="8"/>
      <x:c r="F52" s="8"/>
      <x:c r="G52" s="8"/>
      <x:c r="H52" s="8"/>
      <x:c r="I52" s="8"/>
      <x:c r="J52" s="8"/>
      <x:c r="K52" s="8"/>
      <x:c r="L52" s="8"/>
    </x:row>
    <x:row r="53" ht="24" customHeight="1">
      <x:c r="A53" s="8"/>
      <x:c r="B53" s="8"/>
      <x:c r="C53" s="8"/>
      <x:c r="D53" s="8"/>
      <x:c r="E53" s="8"/>
      <x:c r="F53" s="8"/>
      <x:c r="G53" s="8"/>
      <x:c r="H53" s="8"/>
      <x:c r="I53" s="8"/>
      <x:c r="J53" s="8"/>
      <x:c r="K53" s="8"/>
      <x:c r="L53" s="8"/>
    </x:row>
    <x:row r="54" ht="24" customHeight="1">
      <x:c r="A54" s="8"/>
      <x:c r="B54" s="8"/>
      <x:c r="C54" s="8"/>
      <x:c r="D54" s="8"/>
      <x:c r="E54" s="8"/>
      <x:c r="F54" s="8"/>
      <x:c r="G54" s="8"/>
      <x:c r="H54" s="8"/>
      <x:c r="I54" s="8"/>
      <x:c r="J54" s="8"/>
      <x:c r="K54" s="8"/>
      <x:c r="L54" s="8"/>
    </x:row>
    <x:row r="55" ht="24" customHeight="1">
      <x:c r="A55" s="8"/>
      <x:c r="B55" s="8"/>
      <x:c r="C55" s="8"/>
      <x:c r="D55" s="8"/>
      <x:c r="E55" s="8"/>
      <x:c r="F55" s="8"/>
      <x:c r="G55" s="8"/>
      <x:c r="H55" s="8"/>
      <x:c r="I55" s="8"/>
      <x:c r="J55" s="8"/>
      <x:c r="K55" s="8"/>
      <x:c r="L55" s="8"/>
    </x:row>
    <x:row r="56" ht="24" customHeight="1">
      <x:c r="A56" s="8"/>
      <x:c r="B56" s="8"/>
      <x:c r="C56" s="8"/>
      <x:c r="D56" s="8"/>
      <x:c r="E56" s="8"/>
      <x:c r="F56" s="8"/>
      <x:c r="G56" s="8"/>
      <x:c r="H56" s="8"/>
      <x:c r="I56" s="8"/>
      <x:c r="J56" s="8"/>
      <x:c r="K56" s="8"/>
      <x:c r="L56" s="8"/>
    </x:row>
    <x:row r="57" ht="24" customHeight="1">
      <x:c r="A57" s="8"/>
      <x:c r="B57" s="8"/>
      <x:c r="C57" s="8"/>
      <x:c r="D57" s="8"/>
      <x:c r="E57" s="8"/>
      <x:c r="F57" s="8"/>
      <x:c r="G57" s="8"/>
      <x:c r="H57" s="8"/>
      <x:c r="I57" s="8"/>
      <x:c r="J57" s="8"/>
      <x:c r="K57" s="8"/>
      <x:c r="L57" s="8"/>
    </x:row>
    <x:row r="58" ht="24" customHeight="1">
      <x:c r="A58" s="8"/>
      <x:c r="B58" s="8"/>
      <x:c r="C58" s="8"/>
      <x:c r="D58" s="8"/>
      <x:c r="E58" s="8"/>
      <x:c r="F58" s="8"/>
      <x:c r="G58" s="8"/>
      <x:c r="H58" s="8"/>
      <x:c r="I58" s="8"/>
      <x:c r="J58" s="8"/>
      <x:c r="K58" s="8"/>
      <x:c r="L58" s="8"/>
    </x:row>
    <x:row r="59" ht="24" customHeight="1">
      <x:c r="A59" s="8"/>
      <x:c r="B59" s="8"/>
      <x:c r="C59" s="8"/>
      <x:c r="D59" s="8"/>
      <x:c r="E59" s="8"/>
      <x:c r="F59" s="8"/>
      <x:c r="G59" s="8"/>
      <x:c r="H59" s="8"/>
      <x:c r="I59" s="8"/>
      <x:c r="J59" s="8"/>
      <x:c r="K59" s="8"/>
      <x:c r="L59" s="8"/>
    </x:row>
    <x:row r="60" ht="24" customHeight="1">
      <x:c r="A60" s="8"/>
      <x:c r="B60" s="8"/>
      <x:c r="C60" s="8"/>
      <x:c r="D60" s="8"/>
      <x:c r="E60" s="8"/>
      <x:c r="F60" s="8"/>
      <x:c r="G60" s="8"/>
      <x:c r="H60" s="8"/>
      <x:c r="I60" s="8"/>
      <x:c r="J60" s="8"/>
      <x:c r="K60" s="8"/>
      <x:c r="L60" s="8"/>
    </x:row>
    <x:row r="61" ht="24" customHeight="1">
      <x:c r="A61" s="8"/>
      <x:c r="B61" s="8"/>
      <x:c r="C61" s="8"/>
      <x:c r="D61" s="8"/>
      <x:c r="E61" s="8"/>
      <x:c r="F61" s="8"/>
      <x:c r="G61" s="8"/>
      <x:c r="H61" s="8"/>
      <x:c r="I61" s="8"/>
      <x:c r="J61" s="8"/>
      <x:c r="K61" s="8"/>
      <x:c r="L61" s="8"/>
    </x:row>
    <x:row r="62" ht="24" customHeight="1">
      <x:c r="A62" s="8"/>
      <x:c r="B62" s="8"/>
      <x:c r="C62" s="8"/>
      <x:c r="D62" s="8"/>
      <x:c r="E62" s="8"/>
      <x:c r="F62" s="8"/>
      <x:c r="G62" s="8"/>
      <x:c r="H62" s="8"/>
      <x:c r="I62" s="8"/>
      <x:c r="J62" s="8"/>
      <x:c r="K62" s="8"/>
      <x:c r="L62" s="8"/>
    </x:row>
    <x:row r="63" ht="24" customHeight="1">
      <x:c r="A63" s="8"/>
      <x:c r="B63" s="8"/>
      <x:c r="C63" s="8"/>
      <x:c r="D63" s="8"/>
      <x:c r="E63" s="8"/>
      <x:c r="F63" s="8"/>
      <x:c r="G63" s="8"/>
      <x:c r="H63" s="8"/>
      <x:c r="I63" s="8"/>
      <x:c r="J63" s="8"/>
      <x:c r="K63" s="8"/>
      <x:c r="L63" s="8"/>
    </x:row>
    <x:row r="64" ht="24" customHeight="1">
      <x:c r="A64" s="8"/>
      <x:c r="B64" s="8"/>
      <x:c r="C64" s="8"/>
      <x:c r="D64" s="8"/>
      <x:c r="E64" s="8"/>
      <x:c r="F64" s="8"/>
      <x:c r="G64" s="8"/>
      <x:c r="H64" s="8"/>
      <x:c r="I64" s="8"/>
      <x:c r="J64" s="8"/>
      <x:c r="K64" s="8"/>
      <x:c r="L64" s="8"/>
    </x:row>
    <x:row r="65" ht="24" customHeight="1">
      <x:c r="A65" s="8"/>
      <x:c r="B65" s="8"/>
      <x:c r="C65" s="8"/>
      <x:c r="D65" s="8"/>
      <x:c r="E65" s="8"/>
      <x:c r="F65" s="8"/>
      <x:c r="G65" s="8"/>
      <x:c r="H65" s="8"/>
      <x:c r="I65" s="8"/>
      <x:c r="J65" s="8"/>
      <x:c r="K65" s="8"/>
      <x:c r="L65" s="8"/>
    </x:row>
    <x:row r="66" ht="24" customHeight="1">
      <x:c r="A66" s="8"/>
      <x:c r="B66" s="8"/>
      <x:c r="C66" s="8"/>
      <x:c r="D66" s="8"/>
      <x:c r="E66" s="8"/>
      <x:c r="F66" s="8"/>
      <x:c r="G66" s="8"/>
      <x:c r="H66" s="8"/>
      <x:c r="I66" s="8"/>
      <x:c r="J66" s="8"/>
      <x:c r="K66" s="8"/>
      <x:c r="L66" s="8"/>
    </x:row>
    <x:row r="67" ht="24" customHeight="1">
      <x:c r="A67" s="8"/>
      <x:c r="B67" s="8"/>
      <x:c r="C67" s="8"/>
      <x:c r="D67" s="8"/>
      <x:c r="E67" s="8"/>
      <x:c r="F67" s="8"/>
      <x:c r="G67" s="8"/>
      <x:c r="H67" s="8"/>
      <x:c r="I67" s="8"/>
      <x:c r="J67" s="8"/>
      <x:c r="K67" s="8"/>
      <x:c r="L67" s="8"/>
    </x:row>
    <x:row r="68" ht="24" customHeight="1">
      <x:c r="A68" s="8"/>
      <x:c r="B68" s="8"/>
      <x:c r="C68" s="8"/>
      <x:c r="D68" s="8"/>
      <x:c r="E68" s="8"/>
      <x:c r="F68" s="8"/>
      <x:c r="G68" s="8"/>
      <x:c r="H68" s="8"/>
      <x:c r="I68" s="8"/>
      <x:c r="J68" s="8"/>
      <x:c r="K68" s="8"/>
      <x:c r="L68" s="8"/>
    </x:row>
    <x:row r="69" ht="24" customHeight="1">
      <x:c r="A69" s="8"/>
      <x:c r="B69" s="8"/>
      <x:c r="C69" s="8"/>
      <x:c r="D69" s="8"/>
      <x:c r="E69" s="8"/>
      <x:c r="F69" s="8"/>
      <x:c r="G69" s="8"/>
      <x:c r="H69" s="8"/>
      <x:c r="I69" s="8"/>
      <x:c r="J69" s="8"/>
      <x:c r="K69" s="8"/>
      <x:c r="L69" s="8"/>
    </x:row>
    <x:row r="70" ht="24" customHeight="1">
      <x:c r="A70" s="8"/>
      <x:c r="B70" s="8"/>
      <x:c r="C70" s="8"/>
      <x:c r="D70" s="8"/>
      <x:c r="E70" s="8"/>
      <x:c r="F70" s="8"/>
      <x:c r="G70" s="8"/>
      <x:c r="H70" s="8"/>
      <x:c r="I70" s="8"/>
      <x:c r="J70" s="8"/>
      <x:c r="K70" s="8"/>
      <x:c r="L70" s="8"/>
    </x:row>
    <x:row r="71" ht="24" customHeight="1">
      <x:c r="A71" s="8"/>
      <x:c r="B71" s="8"/>
      <x:c r="C71" s="8"/>
      <x:c r="D71" s="8"/>
      <x:c r="E71" s="8"/>
      <x:c r="F71" s="8"/>
      <x:c r="G71" s="8"/>
      <x:c r="H71" s="8"/>
      <x:c r="I71" s="8"/>
      <x:c r="J71" s="8"/>
      <x:c r="K71" s="8"/>
      <x:c r="L71" s="8"/>
    </x:row>
    <x:row r="72" ht="24" customHeight="1">
      <x:c r="A72" s="8" t="str">
        <x:v>TdmaRR, HARQ ON (έως 3 retransmissions), 16 processes. Buffer 1048576 bytes και στα δύο modes.</x:v>
      </x:c>
      <x:c r="B72" s="8"/>
      <x:c r="C72" s="8"/>
      <x:c r="D72" s="8"/>
      <x:c r="E72" s="8"/>
      <x:c r="F72" s="8"/>
      <x:c r="G72" s="8"/>
      <x:c r="H72" s="8"/>
      <x:c r="I72" s="8"/>
      <x:c r="J72" s="8"/>
      <x:c r="K72" s="8"/>
      <x:c r="L72" s="8"/>
    </x:row>
    <x:row r="73" ht="24" customHeight="1">
      <x:c r="A73" s="8" t="str">
        <x:v>3.5 GHz, bandwidth 100 MHz, απόσταση 100 m, UE Tx 10 dBm, load 200 Mbps, payload 1400 bytes.</x:v>
      </x:c>
      <x:c r="B73" s="8"/>
      <x:c r="C73" s="8"/>
      <x:c r="D73" s="8"/>
      <x:c r="E73" s="8"/>
      <x:c r="F73" s="8"/>
      <x:c r="G73" s="8"/>
      <x:c r="H73" s="8"/>
      <x:c r="I73" s="8"/>
      <x:c r="J73" s="8"/>
      <x:c r="K73" s="8"/>
      <x:c r="L73" s="8"/>
    </x:row>
    <x:row r="74" ht="24" customHeight="1">
      <x:c r="A74" s="8" t="str">
        <x:v>Numerology 2, TDD DL|UL|UL|UL|. Cosine gain 0 dBi, orientation 0°, horizontal 120°, vertical 360°.</x:v>
      </x:c>
      <x:c r="B74" s="8"/>
      <x:c r="C74" s="8"/>
      <x:c r="D74" s="8"/>
      <x:c r="E74" s="8"/>
      <x:c r="F74" s="8"/>
      <x:c r="G74" s="8"/>
      <x:c r="H74" s="8"/>
      <x:c r="I74" s="8"/>
      <x:c r="J74" s="8"/>
      <x:c r="K74" s="8"/>
      <x:c r="L74" s="8"/>
    </x:row>
    <x:row r="75" ht="24" customHeight="1">
      <x:c r="A75" s="8" t="str">
        <x:v>1 UE, UDP uplink, Friis, χωρίς fading/shadowing. Στο AM το όριο buffer αφορά νέα δεδομένα (Txon), όχι όλη τη μνήμη RLC.</x:v>
      </x:c>
      <x:c r="B75" s="8"/>
      <x:c r="C75" s="8"/>
      <x:c r="D75" s="8"/>
      <x:c r="E75" s="8"/>
      <x:c r="F75" s="8"/>
      <x:c r="G75" s="8"/>
      <x:c r="H75" s="8"/>
      <x:c r="I75" s="8"/>
      <x:c r="J75" s="8"/>
      <x:c r="K75" s="8"/>
      <x:c r="L75" s="8"/>
    </x:row>
    <x:row r="76" ht="24" customHeight="1">
      <x:c r="A76" s="8" t="str">
        <x:v>Application 1–11 s, drain 2 s. Throughput/goodput: παραληφθέντα bytes ×8 /10 s. IP throughput περιλαμβάνει headers.</x:v>
      </x:c>
      <x:c r="B76" s="8"/>
      <x:c r="C76" s="8"/>
      <x:c r="D76" s="8"/>
      <x:c r="E76" s="8"/>
      <x:c r="F76" s="8"/>
      <x:c r="G76" s="8"/>
      <x:c r="H76" s="8"/>
      <x:c r="I76" s="8"/>
      <x:c r="J76" s="8"/>
      <x:c r="K76" s="8"/>
      <x:c r="L76" s="8"/>
    </x:row>
    <x:row r="77" ht="24" customHeight="1">
      <x:c r="A77" s="8" t="str">
        <x:v>Delay/jitter: παραληφθέντα πακέτα. Απώλειες μετά το drain ενδέχεται να περιλαμβάνουν πακέτα που παραμένουν σε ουρά.</x:v>
      </x:c>
      <x:c r="B77" s="8"/>
      <x:c r="C77" s="8"/>
      <x:c r="D77" s="8"/>
      <x:c r="E77" s="8"/>
      <x:c r="F77" s="8"/>
      <x:c r="G77" s="8"/>
      <x:c r="H77" s="8"/>
      <x:c r="I77" s="8"/>
      <x:c r="J77" s="8"/>
      <x:c r="K77" s="8"/>
      <x:c r="L77" s="8"/>
    </x:row>
    <x:row r="78" ht="24" customHeight="1">
      <x:c r="A78" s="8" t="str">
        <x:v>Το AM εμφάνισε μικρότερη καθυστέρηση σε όλα τα runs. Η αιτία δεν έχει διερευνηθεί. Δεν προκύπτει γενική υπεροχή του AM.</x:v>
      </x:c>
      <x:c r="B78" s="8"/>
      <x:c r="C78" s="8"/>
      <x:c r="D78" s="8"/>
      <x:c r="E78" s="8"/>
      <x:c r="F78" s="8"/>
      <x:c r="G78" s="8"/>
      <x:c r="H78" s="8"/>
      <x:c r="I78" s="8"/>
      <x:c r="J78" s="8"/>
      <x:c r="K78" s="8"/>
      <x:c r="L78" s="8"/>
    </x:row>
    <x:row r="79" ht="24" customHeight="1">
      <x:c r="A79" s="8" t="str">
        <x:v>Πηγές μετρήσεων: executions 192–196, στήλη source_csv στο φύλλο Μετρήσεις.</x:v>
      </x:c>
      <x:c r="B79" s="8"/>
      <x:c r="C79" s="8"/>
      <x:c r="D79" s="8"/>
      <x:c r="E79" s="8"/>
      <x:c r="F79" s="8"/>
      <x:c r="G79" s="8"/>
      <x:c r="H79" s="8"/>
      <x:c r="I79" s="8"/>
      <x:c r="J79" s="8"/>
      <x:c r="K79" s="8"/>
      <x:c r="L79" s="8"/>
    </x:row>
    <x:row r="80" ht="24" customHeight="1">
      <x:c r="A80" s="8" t="str">
        <x:v>Πηγές σχολίων: εγκατεστημένα contrib/nr/model/nr-rlc-am.cc (constructor/GetTypeId/έλεγχος retx) και nr-rlc-um.cc (DoTransmitPdcpPdu).</x:v>
      </x:c>
      <x:c r="B80" s="8"/>
      <x:c r="C80" s="8"/>
      <x:c r="D80" s="8"/>
      <x:c r="E80" s="8"/>
      <x:c r="F80" s="8"/>
      <x:c r="G80" s="8"/>
      <x:c r="H80" s="8"/>
      <x:c r="I80" s="8"/>
      <x:c r="J80" s="8"/>
      <x:c r="K80" s="8"/>
      <x:c r="L80" s="8"/>
    </x:row>
    <x:row r="81" ht="24" customHeight="1">
      <x:c r="A81" s="8"/>
      <x:c r="B81" s="8"/>
      <x:c r="C81" s="8"/>
      <x:c r="D81" s="8"/>
      <x:c r="E81" s="8"/>
      <x:c r="F81" s="8"/>
      <x:c r="G81" s="8"/>
      <x:c r="H81" s="8"/>
      <x:c r="I81" s="8"/>
      <x:c r="J81" s="8"/>
      <x:c r="K81" s="8"/>
      <x:c r="L81" s="8"/>
    </x:row>
    <x:row r="82" ht="24" customHeight="1">
      <x:c r="A82" s="8"/>
      <x:c r="B82" s="8"/>
      <x:c r="C82" s="8"/>
      <x:c r="D82" s="8"/>
      <x:c r="E82" s="8"/>
      <x:c r="F82" s="8"/>
      <x:c r="G82" s="8"/>
      <x:c r="H82" s="8"/>
      <x:c r="I82" s="8"/>
      <x:c r="J82" s="8"/>
      <x:c r="K82" s="8"/>
      <x:c r="L82" s="8"/>
    </x:row>
    <x:row r="83" ht="24" customHeight="1">
      <x:c r="A83" s="8"/>
      <x:c r="B83" s="8"/>
      <x:c r="C83" s="8"/>
      <x:c r="D83" s="8"/>
      <x:c r="E83" s="8"/>
      <x:c r="F83" s="8"/>
      <x:c r="G83" s="8"/>
      <x:c r="H83" s="8"/>
      <x:c r="I83" s="8"/>
      <x:c r="J83" s="8"/>
      <x:c r="K83" s="8"/>
      <x:c r="L83" s="8"/>
    </x:row>
    <x:row r="84" ht="24" customHeight="1">
      <x:c r="A84" s="8"/>
      <x:c r="B84" s="8"/>
      <x:c r="C84" s="8"/>
      <x:c r="D84" s="8"/>
      <x:c r="E84" s="8"/>
      <x:c r="F84" s="8"/>
      <x:c r="G84" s="8"/>
      <x:c r="H84" s="8"/>
      <x:c r="I84" s="8"/>
      <x:c r="J84" s="8"/>
      <x:c r="K84" s="8"/>
      <x:c r="L84" s="8"/>
    </x:row>
  </x:sheetData>
  <x:pageMargins left="0.7" right="0.7" top="0.75" bottom="0.75" header="0.3" footer="0.3"/>
  <x:drawing xmlns:r="http://schemas.openxmlformats.org/officeDocument/2006/relationships" r:id="Rf9ee769615764d08"/>
  <x:legacyDrawing xmlns:r="http://schemas.openxmlformats.org/officeDocument/2006/relationships" r:id="R060b2555edca44b1"/>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35" hidden="0" customWidth="1"/>
    <x:col min="4" max="4" width="22" hidden="0" customWidth="1"/>
    <x:col min="5" max="5" width="22" hidden="0" customWidth="1"/>
    <x:col min="6" max="6" width="65" hidden="0" customWidth="1"/>
    <x:col min="7" max="7" width="65"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65" hidden="0" customWidth="1"/>
  </x:cols>
  <x:sheetData>
    <x:row r="1" ht="76" customHeight="1">
      <x:c r="A1" s="6" t="str">
        <x:v>status</x:v>
      </x:c>
      <x:c r="B1" s="6" t="str">
        <x:v>experiment_index</x:v>
      </x:c>
      <x:c r="C1" s="6" t="str">
        <x:v>experiment_id</x:v>
      </x:c>
      <x:c r="D1" s="6" t="str">
        <x:v>n8n_execution_id</x:v>
      </x:c>
      <x:c r="E1" s="6" t="str">
        <x:v>data_source</x:v>
      </x:c>
      <x:c r="F1" s="6" t="str">
        <x:v>config_path</x:v>
      </x:c>
      <x:c r="G1" s="6" t="str">
        <x:v>results_path</x:v>
      </x:c>
      <x:c r="H1" s="6" t="str">
        <x:v>experiment_dir</x:v>
      </x:c>
      <x:c r="I1" s="6" t="str">
        <x:v>rlc_mode</x:v>
      </x:c>
      <x:c r="J1" s="6" t="str">
        <x:v>scheduler_type</x:v>
      </x:c>
      <x:c r="K1" s="6" t="str">
        <x:v>harq_enabled</x:v>
      </x:c>
      <x:c r="L1" s="6" t="str">
        <x:v>harq_max_retransmissions</x:v>
      </x:c>
      <x:c r="M1" s="6" t="str">
        <x:v>harq_processes</x:v>
      </x:c>
      <x:c r="N1" s="6" t="str">
        <x:v>gnb_antenna_model</x:v>
      </x:c>
      <x:c r="O1" s="6" t="str">
        <x:v>gnb_antenna_max_gain_dbi</x:v>
      </x:c>
      <x:c r="P1" s="6" t="str">
        <x:v>gnb_antenna_orientation_deg</x:v>
      </x:c>
      <x:c r="Q1" s="6" t="str">
        <x:v>gnb_antenna_horizontal_beamwidth_deg</x:v>
      </x:c>
      <x:c r="R1" s="6" t="str">
        <x:v>gnb_antenna_vertical_beamwidth_deg</x:v>
      </x:c>
      <x:c r="S1" s="6" t="str">
        <x:v>gnb_antenna_effective_gain_toward_ue_db</x:v>
      </x:c>
      <x:c r="T1" s="6" t="str">
        <x:v>carrier_frequency_hz</x:v>
      </x:c>
      <x:c r="U1" s="6" t="str">
        <x:v>ue_distance_2d_m</x:v>
      </x:c>
      <x:c r="V1" s="6" t="str">
        <x:v>ue_distance_3d_m</x:v>
      </x:c>
      <x:c r="W1" s="6" t="str">
        <x:v>ue_tx_power_dbm</x:v>
      </x:c>
      <x:c r="X1" s="6" t="str">
        <x:v>offered_load_mbps</x:v>
      </x:c>
      <x:c r="Y1" s="6" t="str">
        <x:v>bandwidth_hz</x:v>
      </x:c>
      <x:c r="Z1" s="6" t="str">
        <x:v>numerology</x:v>
      </x:c>
      <x:c r="AA1" s="6" t="str">
        <x:v>tdd_pattern</x:v>
      </x:c>
      <x:c r="AB1" s="6" t="str">
        <x:v>packet_size_bytes</x:v>
      </x:c>
      <x:c r="AC1" s="6" t="str">
        <x:v>rlc_buffer_size_bytes</x:v>
      </x:c>
      <x:c r="AD1" s="6" t="str">
        <x:v>rng_seed</x:v>
      </x:c>
      <x:c r="AE1" s="6" t="str">
        <x:v>rng_run</x:v>
      </x:c>
      <x:c r="AF1" s="6" t="str">
        <x:v>throughput_mbps</x:v>
      </x:c>
      <x:c r="AG1" s="6" t="str">
        <x:v>app_goodput_mbps</x:v>
      </x:c>
      <x:c r="AH1" s="6" t="str">
        <x:v>end_to_end_delay_ms</x:v>
      </x:c>
      <x:c r="AI1" s="6" t="str">
        <x:v>jitter_ms</x:v>
      </x:c>
      <x:c r="AJ1" s="6" t="str">
        <x:v>loss_fraction</x:v>
      </x:c>
      <x:c r="AK1" s="6" t="str">
        <x:v>tx_packets</x:v>
      </x:c>
      <x:c r="AL1" s="6" t="str">
        <x:v>rx_packets</x:v>
      </x:c>
      <x:c r="AM1" s="6" t="str">
        <x:v>ip_rx_bytes</x:v>
      </x:c>
      <x:c r="AN1" s="6" t="str">
        <x:v>unreceived_packets_after_drain</x:v>
      </x:c>
      <x:c r="AO1" s="6" t="str">
        <x:v>source_csv</x:v>
      </x:c>
    </x:row>
    <x:row r="2" ht="24" customHeight="1">
      <x:c r="A2" s="2" t="str">
        <x:v>success</x:v>
      </x:c>
      <x:c r="B2" s="2" t="n">
        <x:v>1</x:v>
      </x:c>
      <x:c r="C2" s="2" t="str">
        <x:v>rlc_mode_UM_run_1</x:v>
      </x:c>
      <x:c r="D2" s="2" t="n">
        <x:v>192</x:v>
      </x:c>
      <x:c r="E2" s="2" t="str">
        <x:v>ns3</x:v>
      </x:c>
      <x:c r="F2" s="2" t="str">
        <x:v>experiments/execution_192/experiment_1/config.json</x:v>
      </x:c>
      <x:c r="G2" s="2" t="str">
        <x:v>experiments/execution_192/experiment_1/results.json</x:v>
      </x:c>
      <x:c r="H2" s="2" t="str">
        <x:v>/home/dinos/ns-allinone-3.47/ns-3.47/experiments/execution_192/experiment_1</x:v>
      </x:c>
      <x:c r="I2" s="2" t="str">
        <x:v>UM</x:v>
      </x:c>
      <x:c r="J2" s="2" t="str">
        <x:v>TdmaRR</x:v>
      </x:c>
      <x:c r="K2" s="3" t="b">
        <x:v>1</x:v>
      </x:c>
      <x:c r="L2" s="2" t="n">
        <x:v>3</x:v>
      </x:c>
      <x:c r="M2" s="2" t="n">
        <x:v>16</x:v>
      </x:c>
      <x:c r="N2" s="2" t="str">
        <x:v>Cosine</x:v>
      </x:c>
      <x:c r="O2" s="2" t="n">
        <x:v>0</x:v>
      </x:c>
      <x:c r="P2" s="2" t="n">
        <x:v>0</x:v>
      </x:c>
      <x:c r="Q2" s="2" t="n">
        <x:v>120</x:v>
      </x:c>
      <x:c r="R2" s="2" t="n">
        <x:v>360</x:v>
      </x:c>
      <x:c r="S2" s="2" t="n">
        <x:v>0</x:v>
      </x:c>
      <x:c r="T2" s="2" t="n">
        <x:v>3500000000</x:v>
      </x:c>
      <x:c r="U2" s="2" t="n">
        <x:v>100</x:v>
      </x:c>
      <x:c r="V2" s="2" t="n">
        <x:v>100.3605998</x:v>
      </x:c>
      <x:c r="W2" s="2" t="n">
        <x:v>10</x:v>
      </x:c>
      <x:c r="X2" s="2" t="n">
        <x:v>200</x:v>
      </x:c>
      <x:c r="Y2" s="2" t="n">
        <x:v>100000000</x:v>
      </x:c>
      <x:c r="Z2" s="2" t="n">
        <x:v>2</x:v>
      </x:c>
      <x:c r="AA2" s="2" t="str">
        <x:v>DL|UL|UL|UL|</x:v>
      </x:c>
      <x:c r="AB2" s="2" t="n">
        <x:v>1400</x:v>
      </x:c>
      <x:c r="AC2" s="2" t="n">
        <x:v>1048576</x:v>
      </x:c>
      <x:c r="AD2" s="2" t="n">
        <x:v>42</x:v>
      </x:c>
      <x:c r="AE2" s="2" t="n">
        <x:v>1</x:v>
      </x:c>
      <x:c r="AF2" s="7" t="n">
        <x:v>203.9995104</x:v>
      </x:c>
      <x:c r="AG2" s="7" t="n">
        <x:v>199.99952</x:v>
      </x:c>
      <x:c r="AH2" s="7" t="n">
        <x:v>3.635096716</x:v>
      </x:c>
      <x:c r="AI2" s="7" t="n">
        <x:v>0.098988906</x:v>
      </x:c>
      <x:c r="AJ2" s="7" t="n">
        <x:v>0</x:v>
      </x:c>
      <x:c r="AK2" s="2" t="n">
        <x:v>178571</x:v>
      </x:c>
      <x:c r="AL2" s="2" t="n">
        <x:v>178571</x:v>
      </x:c>
      <x:c r="AM2" s="2" t="n">
        <x:v>254999388</x:v>
      </x:c>
      <x:c r="AN2" s="2" t="n">
        <x:v>0</x:v>
      </x:c>
      <x:c r="AO2" s="2" t="str">
        <x:v>experiments/execution_192/batch_dataset.csv</x:v>
      </x:c>
    </x:row>
    <x:row r="3" ht="24" customHeight="1">
      <x:c r="A3" s="2" t="str">
        <x:v>success</x:v>
      </x:c>
      <x:c r="B3" s="2" t="n">
        <x:v>1</x:v>
      </x:c>
      <x:c r="C3" s="2" t="str">
        <x:v>rlc_mode_UM_run_2</x:v>
      </x:c>
      <x:c r="D3" s="2" t="n">
        <x:v>193</x:v>
      </x:c>
      <x:c r="E3" s="2" t="str">
        <x:v>ns3</x:v>
      </x:c>
      <x:c r="F3" s="2" t="str">
        <x:v>experiments/execution_193/experiment_1/config.json</x:v>
      </x:c>
      <x:c r="G3" s="2" t="str">
        <x:v>experiments/execution_193/experiment_1/results.json</x:v>
      </x:c>
      <x:c r="H3" s="2" t="str">
        <x:v>/home/dinos/ns-allinone-3.47/ns-3.47/experiments/execution_193/experiment_1</x:v>
      </x:c>
      <x:c r="I3" s="2" t="str">
        <x:v>UM</x:v>
      </x:c>
      <x:c r="J3" s="2" t="str">
        <x:v>TdmaRR</x:v>
      </x:c>
      <x:c r="K3" s="3" t="b">
        <x:v>1</x:v>
      </x:c>
      <x:c r="L3" s="2" t="n">
        <x:v>3</x:v>
      </x:c>
      <x:c r="M3" s="2" t="n">
        <x:v>16</x:v>
      </x:c>
      <x:c r="N3" s="2" t="str">
        <x:v>Cosine</x:v>
      </x:c>
      <x:c r="O3" s="2" t="n">
        <x:v>0</x:v>
      </x:c>
      <x:c r="P3" s="2" t="n">
        <x:v>0</x:v>
      </x:c>
      <x:c r="Q3" s="2" t="n">
        <x:v>120</x:v>
      </x:c>
      <x:c r="R3" s="2" t="n">
        <x:v>360</x:v>
      </x:c>
      <x:c r="S3" s="2" t="n">
        <x:v>0</x:v>
      </x:c>
      <x:c r="T3" s="2" t="n">
        <x:v>3500000000</x:v>
      </x:c>
      <x:c r="U3" s="2" t="n">
        <x:v>100</x:v>
      </x:c>
      <x:c r="V3" s="2" t="n">
        <x:v>100.3605998</x:v>
      </x:c>
      <x:c r="W3" s="2" t="n">
        <x:v>10</x:v>
      </x:c>
      <x:c r="X3" s="2" t="n">
        <x:v>200</x:v>
      </x:c>
      <x:c r="Y3" s="2" t="n">
        <x:v>100000000</x:v>
      </x:c>
      <x:c r="Z3" s="2" t="n">
        <x:v>2</x:v>
      </x:c>
      <x:c r="AA3" s="2" t="str">
        <x:v>DL|UL|UL|UL|</x:v>
      </x:c>
      <x:c r="AB3" s="2" t="n">
        <x:v>1400</x:v>
      </x:c>
      <x:c r="AC3" s="2" t="n">
        <x:v>1048576</x:v>
      </x:c>
      <x:c r="AD3" s="2" t="n">
        <x:v>42</x:v>
      </x:c>
      <x:c r="AE3" s="2" t="n">
        <x:v>2</x:v>
      </x:c>
      <x:c r="AF3" s="7" t="n">
        <x:v>203.9995104</x:v>
      </x:c>
      <x:c r="AG3" s="7" t="n">
        <x:v>199.99952</x:v>
      </x:c>
      <x:c r="AH3" s="7" t="n">
        <x:v>3.649278125</x:v>
      </x:c>
      <x:c r="AI3" s="7" t="n">
        <x:v>0.0990361</x:v>
      </x:c>
      <x:c r="AJ3" s="7" t="n">
        <x:v>0</x:v>
      </x:c>
      <x:c r="AK3" s="2" t="n">
        <x:v>178571</x:v>
      </x:c>
      <x:c r="AL3" s="2" t="n">
        <x:v>178571</x:v>
      </x:c>
      <x:c r="AM3" s="2" t="n">
        <x:v>254999388</x:v>
      </x:c>
      <x:c r="AN3" s="2" t="n">
        <x:v>0</x:v>
      </x:c>
      <x:c r="AO3" s="2" t="str">
        <x:v>experiments/execution_193/batch_dataset.csv</x:v>
      </x:c>
    </x:row>
    <x:row r="4" ht="24" customHeight="1">
      <x:c r="A4" s="2" t="str">
        <x:v>success</x:v>
      </x:c>
      <x:c r="B4" s="2" t="n">
        <x:v>1</x:v>
      </x:c>
      <x:c r="C4" s="2" t="str">
        <x:v>rlc_mode_UM_run_3</x:v>
      </x:c>
      <x:c r="D4" s="2" t="n">
        <x:v>194</x:v>
      </x:c>
      <x:c r="E4" s="2" t="str">
        <x:v>ns3</x:v>
      </x:c>
      <x:c r="F4" s="2" t="str">
        <x:v>experiments/execution_194/experiment_1/config.json</x:v>
      </x:c>
      <x:c r="G4" s="2" t="str">
        <x:v>experiments/execution_194/experiment_1/results.json</x:v>
      </x:c>
      <x:c r="H4" s="2" t="str">
        <x:v>/home/dinos/ns-allinone-3.47/ns-3.47/experiments/execution_194/experiment_1</x:v>
      </x:c>
      <x:c r="I4" s="2" t="str">
        <x:v>UM</x:v>
      </x:c>
      <x:c r="J4" s="2" t="str">
        <x:v>TdmaRR</x:v>
      </x:c>
      <x:c r="K4" s="3" t="b">
        <x:v>1</x:v>
      </x:c>
      <x:c r="L4" s="2" t="n">
        <x:v>3</x:v>
      </x:c>
      <x:c r="M4" s="2" t="n">
        <x:v>16</x:v>
      </x:c>
      <x:c r="N4" s="2" t="str">
        <x:v>Cosine</x:v>
      </x:c>
      <x:c r="O4" s="2" t="n">
        <x:v>0</x:v>
      </x:c>
      <x:c r="P4" s="2" t="n">
        <x:v>0</x:v>
      </x:c>
      <x:c r="Q4" s="2" t="n">
        <x:v>120</x:v>
      </x:c>
      <x:c r="R4" s="2" t="n">
        <x:v>360</x:v>
      </x:c>
      <x:c r="S4" s="2" t="n">
        <x:v>0</x:v>
      </x:c>
      <x:c r="T4" s="2" t="n">
        <x:v>3500000000</x:v>
      </x:c>
      <x:c r="U4" s="2" t="n">
        <x:v>100</x:v>
      </x:c>
      <x:c r="V4" s="2" t="n">
        <x:v>100.3605998</x:v>
      </x:c>
      <x:c r="W4" s="2" t="n">
        <x:v>10</x:v>
      </x:c>
      <x:c r="X4" s="2" t="n">
        <x:v>200</x:v>
      </x:c>
      <x:c r="Y4" s="2" t="n">
        <x:v>100000000</x:v>
      </x:c>
      <x:c r="Z4" s="2" t="n">
        <x:v>2</x:v>
      </x:c>
      <x:c r="AA4" s="2" t="str">
        <x:v>DL|UL|UL|UL|</x:v>
      </x:c>
      <x:c r="AB4" s="2" t="n">
        <x:v>1400</x:v>
      </x:c>
      <x:c r="AC4" s="2" t="n">
        <x:v>1048576</x:v>
      </x:c>
      <x:c r="AD4" s="2" t="n">
        <x:v>42</x:v>
      </x:c>
      <x:c r="AE4" s="2" t="n">
        <x:v>3</x:v>
      </x:c>
      <x:c r="AF4" s="7" t="n">
        <x:v>203.9995104</x:v>
      </x:c>
      <x:c r="AG4" s="7" t="n">
        <x:v>199.99952</x:v>
      </x:c>
      <x:c r="AH4" s="7" t="n">
        <x:v>3.652475953</x:v>
      </x:c>
      <x:c r="AI4" s="7" t="n">
        <x:v>0.099028203</x:v>
      </x:c>
      <x:c r="AJ4" s="7" t="n">
        <x:v>0</x:v>
      </x:c>
      <x:c r="AK4" s="2" t="n">
        <x:v>178571</x:v>
      </x:c>
      <x:c r="AL4" s="2" t="n">
        <x:v>178571</x:v>
      </x:c>
      <x:c r="AM4" s="2" t="n">
        <x:v>254999388</x:v>
      </x:c>
      <x:c r="AN4" s="2" t="n">
        <x:v>0</x:v>
      </x:c>
      <x:c r="AO4" s="2" t="str">
        <x:v>experiments/execution_194/batch_dataset.csv</x:v>
      </x:c>
    </x:row>
    <x:row r="5" ht="24" customHeight="1">
      <x:c r="A5" s="2" t="str">
        <x:v>success</x:v>
      </x:c>
      <x:c r="B5" s="2" t="n">
        <x:v>1</x:v>
      </x:c>
      <x:c r="C5" s="2" t="str">
        <x:v>rlc_mode_UM_run_4</x:v>
      </x:c>
      <x:c r="D5" s="2" t="n">
        <x:v>195</x:v>
      </x:c>
      <x:c r="E5" s="2" t="str">
        <x:v>ns3</x:v>
      </x:c>
      <x:c r="F5" s="2" t="str">
        <x:v>experiments/execution_195/experiment_1/config.json</x:v>
      </x:c>
      <x:c r="G5" s="2" t="str">
        <x:v>experiments/execution_195/experiment_1/results.json</x:v>
      </x:c>
      <x:c r="H5" s="2" t="str">
        <x:v>/home/dinos/ns-allinone-3.47/ns-3.47/experiments/execution_195/experiment_1</x:v>
      </x:c>
      <x:c r="I5" s="2" t="str">
        <x:v>UM</x:v>
      </x:c>
      <x:c r="J5" s="2" t="str">
        <x:v>TdmaRR</x:v>
      </x:c>
      <x:c r="K5" s="3" t="b">
        <x:v>1</x:v>
      </x:c>
      <x:c r="L5" s="2" t="n">
        <x:v>3</x:v>
      </x:c>
      <x:c r="M5" s="2" t="n">
        <x:v>16</x:v>
      </x:c>
      <x:c r="N5" s="2" t="str">
        <x:v>Cosine</x:v>
      </x:c>
      <x:c r="O5" s="2" t="n">
        <x:v>0</x:v>
      </x:c>
      <x:c r="P5" s="2" t="n">
        <x:v>0</x:v>
      </x:c>
      <x:c r="Q5" s="2" t="n">
        <x:v>120</x:v>
      </x:c>
      <x:c r="R5" s="2" t="n">
        <x:v>360</x:v>
      </x:c>
      <x:c r="S5" s="2" t="n">
        <x:v>0</x:v>
      </x:c>
      <x:c r="T5" s="2" t="n">
        <x:v>3500000000</x:v>
      </x:c>
      <x:c r="U5" s="2" t="n">
        <x:v>100</x:v>
      </x:c>
      <x:c r="V5" s="2" t="n">
        <x:v>100.3605998</x:v>
      </x:c>
      <x:c r="W5" s="2" t="n">
        <x:v>10</x:v>
      </x:c>
      <x:c r="X5" s="2" t="n">
        <x:v>200</x:v>
      </x:c>
      <x:c r="Y5" s="2" t="n">
        <x:v>100000000</x:v>
      </x:c>
      <x:c r="Z5" s="2" t="n">
        <x:v>2</x:v>
      </x:c>
      <x:c r="AA5" s="2" t="str">
        <x:v>DL|UL|UL|UL|</x:v>
      </x:c>
      <x:c r="AB5" s="2" t="n">
        <x:v>1400</x:v>
      </x:c>
      <x:c r="AC5" s="2" t="n">
        <x:v>1048576</x:v>
      </x:c>
      <x:c r="AD5" s="2" t="n">
        <x:v>42</x:v>
      </x:c>
      <x:c r="AE5" s="2" t="n">
        <x:v>4</x:v>
      </x:c>
      <x:c r="AF5" s="7" t="n">
        <x:v>203.9995104</x:v>
      </x:c>
      <x:c r="AG5" s="7" t="n">
        <x:v>199.99952</x:v>
      </x:c>
      <x:c r="AH5" s="7" t="n">
        <x:v>3.642038815</x:v>
      </x:c>
      <x:c r="AI5" s="7" t="n">
        <x:v>0.099125161</x:v>
      </x:c>
      <x:c r="AJ5" s="7" t="n">
        <x:v>0</x:v>
      </x:c>
      <x:c r="AK5" s="2" t="n">
        <x:v>178571</x:v>
      </x:c>
      <x:c r="AL5" s="2" t="n">
        <x:v>178571</x:v>
      </x:c>
      <x:c r="AM5" s="2" t="n">
        <x:v>254999388</x:v>
      </x:c>
      <x:c r="AN5" s="2" t="n">
        <x:v>0</x:v>
      </x:c>
      <x:c r="AO5" s="2" t="str">
        <x:v>experiments/execution_195/batch_dataset.csv</x:v>
      </x:c>
    </x:row>
    <x:row r="6" ht="24" customHeight="1">
      <x:c r="A6" s="2" t="str">
        <x:v>success</x:v>
      </x:c>
      <x:c r="B6" s="2" t="n">
        <x:v>1</x:v>
      </x:c>
      <x:c r="C6" s="2" t="str">
        <x:v>rlc_mode_UM_run_5</x:v>
      </x:c>
      <x:c r="D6" s="2" t="n">
        <x:v>196</x:v>
      </x:c>
      <x:c r="E6" s="2" t="str">
        <x:v>ns3</x:v>
      </x:c>
      <x:c r="F6" s="2" t="str">
        <x:v>experiments/execution_196/experiment_1/config.json</x:v>
      </x:c>
      <x:c r="G6" s="2" t="str">
        <x:v>experiments/execution_196/experiment_1/results.json</x:v>
      </x:c>
      <x:c r="H6" s="2" t="str">
        <x:v>/home/dinos/ns-allinone-3.47/ns-3.47/experiments/execution_196/experiment_1</x:v>
      </x:c>
      <x:c r="I6" s="2" t="str">
        <x:v>UM</x:v>
      </x:c>
      <x:c r="J6" s="2" t="str">
        <x:v>TdmaRR</x:v>
      </x:c>
      <x:c r="K6" s="3" t="b">
        <x:v>1</x:v>
      </x:c>
      <x:c r="L6" s="2" t="n">
        <x:v>3</x:v>
      </x:c>
      <x:c r="M6" s="2" t="n">
        <x:v>16</x:v>
      </x:c>
      <x:c r="N6" s="2" t="str">
        <x:v>Cosine</x:v>
      </x:c>
      <x:c r="O6" s="2" t="n">
        <x:v>0</x:v>
      </x:c>
      <x:c r="P6" s="2" t="n">
        <x:v>0</x:v>
      </x:c>
      <x:c r="Q6" s="2" t="n">
        <x:v>120</x:v>
      </x:c>
      <x:c r="R6" s="2" t="n">
        <x:v>360</x:v>
      </x:c>
      <x:c r="S6" s="2" t="n">
        <x:v>0</x:v>
      </x:c>
      <x:c r="T6" s="2" t="n">
        <x:v>3500000000</x:v>
      </x:c>
      <x:c r="U6" s="2" t="n">
        <x:v>100</x:v>
      </x:c>
      <x:c r="V6" s="2" t="n">
        <x:v>100.3605998</x:v>
      </x:c>
      <x:c r="W6" s="2" t="n">
        <x:v>10</x:v>
      </x:c>
      <x:c r="X6" s="2" t="n">
        <x:v>200</x:v>
      </x:c>
      <x:c r="Y6" s="2" t="n">
        <x:v>100000000</x:v>
      </x:c>
      <x:c r="Z6" s="2" t="n">
        <x:v>2</x:v>
      </x:c>
      <x:c r="AA6" s="2" t="str">
        <x:v>DL|UL|UL|UL|</x:v>
      </x:c>
      <x:c r="AB6" s="2" t="n">
        <x:v>1400</x:v>
      </x:c>
      <x:c r="AC6" s="2" t="n">
        <x:v>1048576</x:v>
      </x:c>
      <x:c r="AD6" s="2" t="n">
        <x:v>42</x:v>
      </x:c>
      <x:c r="AE6" s="2" t="n">
        <x:v>5</x:v>
      </x:c>
      <x:c r="AF6" s="7" t="n">
        <x:v>203.9995104</x:v>
      </x:c>
      <x:c r="AG6" s="7" t="n">
        <x:v>199.99952</x:v>
      </x:c>
      <x:c r="AH6" s="7" t="n">
        <x:v>3.640803457</x:v>
      </x:c>
      <x:c r="AI6" s="7" t="n">
        <x:v>0.098982496</x:v>
      </x:c>
      <x:c r="AJ6" s="7" t="n">
        <x:v>0</x:v>
      </x:c>
      <x:c r="AK6" s="2" t="n">
        <x:v>178571</x:v>
      </x:c>
      <x:c r="AL6" s="2" t="n">
        <x:v>178571</x:v>
      </x:c>
      <x:c r="AM6" s="2" t="n">
        <x:v>254999388</x:v>
      </x:c>
      <x:c r="AN6" s="2" t="n">
        <x:v>0</x:v>
      </x:c>
      <x:c r="AO6" s="2" t="str">
        <x:v>experiments/execution_196/batch_dataset.csv</x:v>
      </x:c>
    </x:row>
    <x:row r="7" ht="24" customHeight="1">
      <x:c r="A7" s="2" t="str">
        <x:v>success</x:v>
      </x:c>
      <x:c r="B7" s="2" t="n">
        <x:v>2</x:v>
      </x:c>
      <x:c r="C7" s="2" t="str">
        <x:v>rlc_mode_AM_run_1</x:v>
      </x:c>
      <x:c r="D7" s="2" t="n">
        <x:v>192</x:v>
      </x:c>
      <x:c r="E7" s="2" t="str">
        <x:v>ns3</x:v>
      </x:c>
      <x:c r="F7" s="2" t="str">
        <x:v>experiments/execution_192/experiment_2/config.json</x:v>
      </x:c>
      <x:c r="G7" s="2" t="str">
        <x:v>experiments/execution_192/experiment_2/results.json</x:v>
      </x:c>
      <x:c r="H7" s="2" t="str">
        <x:v>/home/dinos/ns-allinone-3.47/ns-3.47/experiments/execution_192/experiment_2</x:v>
      </x:c>
      <x:c r="I7" s="2" t="str">
        <x:v>AM</x:v>
      </x:c>
      <x:c r="J7" s="2" t="str">
        <x:v>TdmaRR</x:v>
      </x:c>
      <x:c r="K7" s="3" t="b">
        <x:v>1</x:v>
      </x:c>
      <x:c r="L7" s="2" t="n">
        <x:v>3</x:v>
      </x:c>
      <x:c r="M7" s="2" t="n">
        <x:v>16</x:v>
      </x:c>
      <x:c r="N7" s="2" t="str">
        <x:v>Cosine</x:v>
      </x:c>
      <x:c r="O7" s="2" t="n">
        <x:v>0</x:v>
      </x:c>
      <x:c r="P7" s="2" t="n">
        <x:v>0</x:v>
      </x:c>
      <x:c r="Q7" s="2" t="n">
        <x:v>120</x:v>
      </x:c>
      <x:c r="R7" s="2" t="n">
        <x:v>360</x:v>
      </x:c>
      <x:c r="S7" s="2" t="n">
        <x:v>0</x:v>
      </x:c>
      <x:c r="T7" s="2" t="n">
        <x:v>3500000000</x:v>
      </x:c>
      <x:c r="U7" s="2" t="n">
        <x:v>100</x:v>
      </x:c>
      <x:c r="V7" s="2" t="n">
        <x:v>100.3605998</x:v>
      </x:c>
      <x:c r="W7" s="2" t="n">
        <x:v>10</x:v>
      </x:c>
      <x:c r="X7" s="2" t="n">
        <x:v>200</x:v>
      </x:c>
      <x:c r="Y7" s="2" t="n">
        <x:v>100000000</x:v>
      </x:c>
      <x:c r="Z7" s="2" t="n">
        <x:v>2</x:v>
      </x:c>
      <x:c r="AA7" s="2" t="str">
        <x:v>DL|UL|UL|UL|</x:v>
      </x:c>
      <x:c r="AB7" s="2" t="n">
        <x:v>1400</x:v>
      </x:c>
      <x:c r="AC7" s="2" t="n">
        <x:v>1048576</x:v>
      </x:c>
      <x:c r="AD7" s="2" t="n">
        <x:v>42</x:v>
      </x:c>
      <x:c r="AE7" s="2" t="n">
        <x:v>1</x:v>
      </x:c>
      <x:c r="AF7" s="7" t="n">
        <x:v>203.9995104</x:v>
      </x:c>
      <x:c r="AG7" s="7" t="n">
        <x:v>199.99952</x:v>
      </x:c>
      <x:c r="AH7" s="7" t="n">
        <x:v>2.880812046</x:v>
      </x:c>
      <x:c r="AI7" s="7" t="n">
        <x:v>0.098442626</x:v>
      </x:c>
      <x:c r="AJ7" s="7" t="n">
        <x:v>0</x:v>
      </x:c>
      <x:c r="AK7" s="2" t="n">
        <x:v>178571</x:v>
      </x:c>
      <x:c r="AL7" s="2" t="n">
        <x:v>178571</x:v>
      </x:c>
      <x:c r="AM7" s="2" t="n">
        <x:v>254999388</x:v>
      </x:c>
      <x:c r="AN7" s="2" t="n">
        <x:v>0</x:v>
      </x:c>
      <x:c r="AO7" s="2" t="str">
        <x:v>experiments/execution_192/batch_dataset.csv</x:v>
      </x:c>
    </x:row>
    <x:row r="8" ht="24" customHeight="1">
      <x:c r="A8" s="2" t="str">
        <x:v>success</x:v>
      </x:c>
      <x:c r="B8" s="2" t="n">
        <x:v>2</x:v>
      </x:c>
      <x:c r="C8" s="2" t="str">
        <x:v>rlc_mode_AM_run_2</x:v>
      </x:c>
      <x:c r="D8" s="2" t="n">
        <x:v>193</x:v>
      </x:c>
      <x:c r="E8" s="2" t="str">
        <x:v>ns3</x:v>
      </x:c>
      <x:c r="F8" s="2" t="str">
        <x:v>experiments/execution_193/experiment_2/config.json</x:v>
      </x:c>
      <x:c r="G8" s="2" t="str">
        <x:v>experiments/execution_193/experiment_2/results.json</x:v>
      </x:c>
      <x:c r="H8" s="2" t="str">
        <x:v>/home/dinos/ns-allinone-3.47/ns-3.47/experiments/execution_193/experiment_2</x:v>
      </x:c>
      <x:c r="I8" s="2" t="str">
        <x:v>AM</x:v>
      </x:c>
      <x:c r="J8" s="2" t="str">
        <x:v>TdmaRR</x:v>
      </x:c>
      <x:c r="K8" s="3" t="b">
        <x:v>1</x:v>
      </x:c>
      <x:c r="L8" s="2" t="n">
        <x:v>3</x:v>
      </x:c>
      <x:c r="M8" s="2" t="n">
        <x:v>16</x:v>
      </x:c>
      <x:c r="N8" s="2" t="str">
        <x:v>Cosine</x:v>
      </x:c>
      <x:c r="O8" s="2" t="n">
        <x:v>0</x:v>
      </x:c>
      <x:c r="P8" s="2" t="n">
        <x:v>0</x:v>
      </x:c>
      <x:c r="Q8" s="2" t="n">
        <x:v>120</x:v>
      </x:c>
      <x:c r="R8" s="2" t="n">
        <x:v>360</x:v>
      </x:c>
      <x:c r="S8" s="2" t="n">
        <x:v>0</x:v>
      </x:c>
      <x:c r="T8" s="2" t="n">
        <x:v>3500000000</x:v>
      </x:c>
      <x:c r="U8" s="2" t="n">
        <x:v>100</x:v>
      </x:c>
      <x:c r="V8" s="2" t="n">
        <x:v>100.3605998</x:v>
      </x:c>
      <x:c r="W8" s="2" t="n">
        <x:v>10</x:v>
      </x:c>
      <x:c r="X8" s="2" t="n">
        <x:v>200</x:v>
      </x:c>
      <x:c r="Y8" s="2" t="n">
        <x:v>100000000</x:v>
      </x:c>
      <x:c r="Z8" s="2" t="n">
        <x:v>2</x:v>
      </x:c>
      <x:c r="AA8" s="2" t="str">
        <x:v>DL|UL|UL|UL|</x:v>
      </x:c>
      <x:c r="AB8" s="2" t="n">
        <x:v>1400</x:v>
      </x:c>
      <x:c r="AC8" s="2" t="n">
        <x:v>1048576</x:v>
      </x:c>
      <x:c r="AD8" s="2" t="n">
        <x:v>42</x:v>
      </x:c>
      <x:c r="AE8" s="2" t="n">
        <x:v>2</x:v>
      </x:c>
      <x:c r="AF8" s="7" t="n">
        <x:v>203.9995104</x:v>
      </x:c>
      <x:c r="AG8" s="7" t="n">
        <x:v>199.99952</x:v>
      </x:c>
      <x:c r="AH8" s="7" t="n">
        <x:v>2.881447785</x:v>
      </x:c>
      <x:c r="AI8" s="7" t="n">
        <x:v>0.09844829</x:v>
      </x:c>
      <x:c r="AJ8" s="7" t="n">
        <x:v>0</x:v>
      </x:c>
      <x:c r="AK8" s="2" t="n">
        <x:v>178571</x:v>
      </x:c>
      <x:c r="AL8" s="2" t="n">
        <x:v>178571</x:v>
      </x:c>
      <x:c r="AM8" s="2" t="n">
        <x:v>254999388</x:v>
      </x:c>
      <x:c r="AN8" s="2" t="n">
        <x:v>0</x:v>
      </x:c>
      <x:c r="AO8" s="2" t="str">
        <x:v>experiments/execution_193/batch_dataset.csv</x:v>
      </x:c>
    </x:row>
    <x:row r="9" ht="24" customHeight="1">
      <x:c r="A9" s="2" t="str">
        <x:v>success</x:v>
      </x:c>
      <x:c r="B9" s="2" t="n">
        <x:v>2</x:v>
      </x:c>
      <x:c r="C9" s="2" t="str">
        <x:v>rlc_mode_AM_run_3</x:v>
      </x:c>
      <x:c r="D9" s="2" t="n">
        <x:v>194</x:v>
      </x:c>
      <x:c r="E9" s="2" t="str">
        <x:v>ns3</x:v>
      </x:c>
      <x:c r="F9" s="2" t="str">
        <x:v>experiments/execution_194/experiment_2/config.json</x:v>
      </x:c>
      <x:c r="G9" s="2" t="str">
        <x:v>experiments/execution_194/experiment_2/results.json</x:v>
      </x:c>
      <x:c r="H9" s="2" t="str">
        <x:v>/home/dinos/ns-allinone-3.47/ns-3.47/experiments/execution_194/experiment_2</x:v>
      </x:c>
      <x:c r="I9" s="2" t="str">
        <x:v>AM</x:v>
      </x:c>
      <x:c r="J9" s="2" t="str">
        <x:v>TdmaRR</x:v>
      </x:c>
      <x:c r="K9" s="3" t="b">
        <x:v>1</x:v>
      </x:c>
      <x:c r="L9" s="2" t="n">
        <x:v>3</x:v>
      </x:c>
      <x:c r="M9" s="2" t="n">
        <x:v>16</x:v>
      </x:c>
      <x:c r="N9" s="2" t="str">
        <x:v>Cosine</x:v>
      </x:c>
      <x:c r="O9" s="2" t="n">
        <x:v>0</x:v>
      </x:c>
      <x:c r="P9" s="2" t="n">
        <x:v>0</x:v>
      </x:c>
      <x:c r="Q9" s="2" t="n">
        <x:v>120</x:v>
      </x:c>
      <x:c r="R9" s="2" t="n">
        <x:v>360</x:v>
      </x:c>
      <x:c r="S9" s="2" t="n">
        <x:v>0</x:v>
      </x:c>
      <x:c r="T9" s="2" t="n">
        <x:v>3500000000</x:v>
      </x:c>
      <x:c r="U9" s="2" t="n">
        <x:v>100</x:v>
      </x:c>
      <x:c r="V9" s="2" t="n">
        <x:v>100.3605998</x:v>
      </x:c>
      <x:c r="W9" s="2" t="n">
        <x:v>10</x:v>
      </x:c>
      <x:c r="X9" s="2" t="n">
        <x:v>200</x:v>
      </x:c>
      <x:c r="Y9" s="2" t="n">
        <x:v>100000000</x:v>
      </x:c>
      <x:c r="Z9" s="2" t="n">
        <x:v>2</x:v>
      </x:c>
      <x:c r="AA9" s="2" t="str">
        <x:v>DL|UL|UL|UL|</x:v>
      </x:c>
      <x:c r="AB9" s="2" t="n">
        <x:v>1400</x:v>
      </x:c>
      <x:c r="AC9" s="2" t="n">
        <x:v>1048576</x:v>
      </x:c>
      <x:c r="AD9" s="2" t="n">
        <x:v>42</x:v>
      </x:c>
      <x:c r="AE9" s="2" t="n">
        <x:v>3</x:v>
      </x:c>
      <x:c r="AF9" s="7" t="n">
        <x:v>203.9995104</x:v>
      </x:c>
      <x:c r="AG9" s="7" t="n">
        <x:v>199.99952</x:v>
      </x:c>
      <x:c r="AH9" s="7" t="n">
        <x:v>2.880973763</x:v>
      </x:c>
      <x:c r="AI9" s="7" t="n">
        <x:v>0.098458076</x:v>
      </x:c>
      <x:c r="AJ9" s="7" t="n">
        <x:v>0</x:v>
      </x:c>
      <x:c r="AK9" s="2" t="n">
        <x:v>178571</x:v>
      </x:c>
      <x:c r="AL9" s="2" t="n">
        <x:v>178571</x:v>
      </x:c>
      <x:c r="AM9" s="2" t="n">
        <x:v>254999388</x:v>
      </x:c>
      <x:c r="AN9" s="2" t="n">
        <x:v>0</x:v>
      </x:c>
      <x:c r="AO9" s="2" t="str">
        <x:v>experiments/execution_194/batch_dataset.csv</x:v>
      </x:c>
    </x:row>
    <x:row r="10" ht="24" customHeight="1">
      <x:c r="A10" s="2" t="str">
        <x:v>success</x:v>
      </x:c>
      <x:c r="B10" s="2" t="n">
        <x:v>2</x:v>
      </x:c>
      <x:c r="C10" s="2" t="str">
        <x:v>rlc_mode_AM_run_4</x:v>
      </x:c>
      <x:c r="D10" s="2" t="n">
        <x:v>195</x:v>
      </x:c>
      <x:c r="E10" s="2" t="str">
        <x:v>ns3</x:v>
      </x:c>
      <x:c r="F10" s="2" t="str">
        <x:v>experiments/execution_195/experiment_2/config.json</x:v>
      </x:c>
      <x:c r="G10" s="2" t="str">
        <x:v>experiments/execution_195/experiment_2/results.json</x:v>
      </x:c>
      <x:c r="H10" s="2" t="str">
        <x:v>/home/dinos/ns-allinone-3.47/ns-3.47/experiments/execution_195/experiment_2</x:v>
      </x:c>
      <x:c r="I10" s="2" t="str">
        <x:v>AM</x:v>
      </x:c>
      <x:c r="J10" s="2" t="str">
        <x:v>TdmaRR</x:v>
      </x:c>
      <x:c r="K10" s="3" t="b">
        <x:v>1</x:v>
      </x:c>
      <x:c r="L10" s="2" t="n">
        <x:v>3</x:v>
      </x:c>
      <x:c r="M10" s="2" t="n">
        <x:v>16</x:v>
      </x:c>
      <x:c r="N10" s="2" t="str">
        <x:v>Cosine</x:v>
      </x:c>
      <x:c r="O10" s="2" t="n">
        <x:v>0</x:v>
      </x:c>
      <x:c r="P10" s="2" t="n">
        <x:v>0</x:v>
      </x:c>
      <x:c r="Q10" s="2" t="n">
        <x:v>120</x:v>
      </x:c>
      <x:c r="R10" s="2" t="n">
        <x:v>360</x:v>
      </x:c>
      <x:c r="S10" s="2" t="n">
        <x:v>0</x:v>
      </x:c>
      <x:c r="T10" s="2" t="n">
        <x:v>3500000000</x:v>
      </x:c>
      <x:c r="U10" s="2" t="n">
        <x:v>100</x:v>
      </x:c>
      <x:c r="V10" s="2" t="n">
        <x:v>100.3605998</x:v>
      </x:c>
      <x:c r="W10" s="2" t="n">
        <x:v>10</x:v>
      </x:c>
      <x:c r="X10" s="2" t="n">
        <x:v>200</x:v>
      </x:c>
      <x:c r="Y10" s="2" t="n">
        <x:v>100000000</x:v>
      </x:c>
      <x:c r="Z10" s="2" t="n">
        <x:v>2</x:v>
      </x:c>
      <x:c r="AA10" s="2" t="str">
        <x:v>DL|UL|UL|UL|</x:v>
      </x:c>
      <x:c r="AB10" s="2" t="n">
        <x:v>1400</x:v>
      </x:c>
      <x:c r="AC10" s="2" t="n">
        <x:v>1048576</x:v>
      </x:c>
      <x:c r="AD10" s="2" t="n">
        <x:v>42</x:v>
      </x:c>
      <x:c r="AE10" s="2" t="n">
        <x:v>4</x:v>
      </x:c>
      <x:c r="AF10" s="7" t="n">
        <x:v>203.9995104</x:v>
      </x:c>
      <x:c r="AG10" s="7" t="n">
        <x:v>199.99952</x:v>
      </x:c>
      <x:c r="AH10" s="7" t="n">
        <x:v>2.882715</x:v>
      </x:c>
      <x:c r="AI10" s="7" t="n">
        <x:v>0.098476398</x:v>
      </x:c>
      <x:c r="AJ10" s="7" t="n">
        <x:v>0</x:v>
      </x:c>
      <x:c r="AK10" s="2" t="n">
        <x:v>178571</x:v>
      </x:c>
      <x:c r="AL10" s="2" t="n">
        <x:v>178571</x:v>
      </x:c>
      <x:c r="AM10" s="2" t="n">
        <x:v>254999388</x:v>
      </x:c>
      <x:c r="AN10" s="2" t="n">
        <x:v>0</x:v>
      </x:c>
      <x:c r="AO10" s="2" t="str">
        <x:v>experiments/execution_195/batch_dataset.csv</x:v>
      </x:c>
    </x:row>
    <x:row r="11" ht="24" customHeight="1">
      <x:c r="A11" s="2" t="str">
        <x:v>success</x:v>
      </x:c>
      <x:c r="B11" s="2" t="n">
        <x:v>2</x:v>
      </x:c>
      <x:c r="C11" s="2" t="str">
        <x:v>rlc_mode_AM_run_5</x:v>
      </x:c>
      <x:c r="D11" s="2" t="n">
        <x:v>196</x:v>
      </x:c>
      <x:c r="E11" s="2" t="str">
        <x:v>ns3</x:v>
      </x:c>
      <x:c r="F11" s="2" t="str">
        <x:v>experiments/execution_196/experiment_2/config.json</x:v>
      </x:c>
      <x:c r="G11" s="2" t="str">
        <x:v>experiments/execution_196/experiment_2/results.json</x:v>
      </x:c>
      <x:c r="H11" s="2" t="str">
        <x:v>/home/dinos/ns-allinone-3.47/ns-3.47/experiments/execution_196/experiment_2</x:v>
      </x:c>
      <x:c r="I11" s="2" t="str">
        <x:v>AM</x:v>
      </x:c>
      <x:c r="J11" s="2" t="str">
        <x:v>TdmaRR</x:v>
      </x:c>
      <x:c r="K11" s="3" t="b">
        <x:v>1</x:v>
      </x:c>
      <x:c r="L11" s="2" t="n">
        <x:v>3</x:v>
      </x:c>
      <x:c r="M11" s="2" t="n">
        <x:v>16</x:v>
      </x:c>
      <x:c r="N11" s="2" t="str">
        <x:v>Cosine</x:v>
      </x:c>
      <x:c r="O11" s="2" t="n">
        <x:v>0</x:v>
      </x:c>
      <x:c r="P11" s="2" t="n">
        <x:v>0</x:v>
      </x:c>
      <x:c r="Q11" s="2" t="n">
        <x:v>120</x:v>
      </x:c>
      <x:c r="R11" s="2" t="n">
        <x:v>360</x:v>
      </x:c>
      <x:c r="S11" s="2" t="n">
        <x:v>0</x:v>
      </x:c>
      <x:c r="T11" s="2" t="n">
        <x:v>3500000000</x:v>
      </x:c>
      <x:c r="U11" s="2" t="n">
        <x:v>100</x:v>
      </x:c>
      <x:c r="V11" s="2" t="n">
        <x:v>100.3605998</x:v>
      </x:c>
      <x:c r="W11" s="2" t="n">
        <x:v>10</x:v>
      </x:c>
      <x:c r="X11" s="2" t="n">
        <x:v>200</x:v>
      </x:c>
      <x:c r="Y11" s="2" t="n">
        <x:v>100000000</x:v>
      </x:c>
      <x:c r="Z11" s="2" t="n">
        <x:v>2</x:v>
      </x:c>
      <x:c r="AA11" s="2" t="str">
        <x:v>DL|UL|UL|UL|</x:v>
      </x:c>
      <x:c r="AB11" s="2" t="n">
        <x:v>1400</x:v>
      </x:c>
      <x:c r="AC11" s="2" t="n">
        <x:v>1048576</x:v>
      </x:c>
      <x:c r="AD11" s="2" t="n">
        <x:v>42</x:v>
      </x:c>
      <x:c r="AE11" s="2" t="n">
        <x:v>5</x:v>
      </x:c>
      <x:c r="AF11" s="7" t="n">
        <x:v>203.9995104</x:v>
      </x:c>
      <x:c r="AG11" s="7" t="n">
        <x:v>199.99952</x:v>
      </x:c>
      <x:c r="AH11" s="7" t="n">
        <x:v>2.881622485</x:v>
      </x:c>
      <x:c r="AI11" s="7" t="n">
        <x:v>0.098442764</x:v>
      </x:c>
      <x:c r="AJ11" s="7" t="n">
        <x:v>0</x:v>
      </x:c>
      <x:c r="AK11" s="2" t="n">
        <x:v>178571</x:v>
      </x:c>
      <x:c r="AL11" s="2" t="n">
        <x:v>178571</x:v>
      </x:c>
      <x:c r="AM11" s="2" t="n">
        <x:v>254999388</x:v>
      </x:c>
      <x:c r="AN11" s="2" t="n">
        <x:v>0</x:v>
      </x:c>
      <x:c r="AO11" s="2" t="str">
        <x:v>experiments/execution_196/batch_dataset.csv</x:v>
      </x:c>
    </x:row>
  </x:sheetData>
  <x:pageMargins left="0.7" right="0.7" top="0.75" bottom="0.75" header="0.3" footer="0.3"/>
  <x:tableParts count="1">
    <x:tablePart xmlns:r="http://schemas.openxmlformats.org/officeDocument/2006/relationships" r:id="Re699f10df48c46b4"/>
  </x:tableParts>
</x:worksheet>
</file>