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54739375f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Σύνοψη" sheetId="1" r:id="R8118d06493514717"/>
    <x:sheet xmlns:r="http://schemas.openxmlformats.org/officeDocument/2006/relationships" name="Μετρήσεις" sheetId="2" r:id="R160c464f296249e0"/>
  </x:sheets>
</x:workbook>
</file>

<file path=xl/comments1.xml><?xml version="1.0" encoding="utf-8"?>
<x:comments xmlns:x="http://schemas.openxmlformats.org/spreadsheetml/2006/main">
  <x:authors>
    <x:author>tc={28C5B70B-BDFB-430D-B870-2FD85CF1224F}</x:author>
  </x:authors>
  <x:commentList>
    <x:comment ref="A1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Τα συμπεράσματα αφορούν μόνο το συγκεκριμένο σενάριο 1 UE / 1 UDP CBR flow. Δεν αξιολογήθηκαν fairness πολλών χρηστών ή διαφορετικές απαιτήσεις QoS μεταξύ ροών.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"/>
    <x:numFmt numFmtId="201" formatCode="0.0000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047"/>
      <x:name val="Arial"/>
    </x:font>
    <x:font>
      <x:b/>
      <x:sz val="17"/>
      <x:color rgb="FF20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12bae7d134013" /><Relationship Type="http://schemas.openxmlformats.org/officeDocument/2006/relationships/theme" Target="/xl/theme/theme1.xml" Id="R380e3708a73c4655" /><Relationship Type="http://schemas.microsoft.com/office/2022/11/relationships/FeaturePropertyBag" Target="/xl/featurePropertyBag/featurePropertyBag.xml" Id="R0790757858354af9" /><Relationship Type="http://schemas.openxmlformats.org/officeDocument/2006/relationships/sharedStrings" Target="/xl/sharedStrings.xml" Id="R22bd3a0814ba4d83" /><Relationship Type="http://schemas.openxmlformats.org/officeDocument/2006/relationships/worksheet" Target="/xl/worksheets/sheet1.xml" Id="R8118d06493514717" /><Relationship Type="http://schemas.openxmlformats.org/officeDocument/2006/relationships/worksheet" Target="/xl/worksheets/sheet2.xml" Id="R160c464f296249e0" /><Relationship Type="http://schemas.microsoft.com/office/2017/10/relationships/person" Target="/xl/persons/person.xml" Id="R66c309e09b6443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c209daa7134d2e" /><Relationship Type="http://schemas.openxmlformats.org/officeDocument/2006/relationships/chart" Target="/xl/drawings/charts/chart2.xml" Id="Rc05e55af374f40a9" /><Relationship Type="http://schemas.openxmlformats.org/officeDocument/2006/relationships/chart" Target="/xl/drawings/charts/chart3.xml" Id="Ra842f01c3a144b81" /><Relationship Type="http://schemas.openxmlformats.org/officeDocument/2006/relationships/chart" Target="/xl/drawings/charts/chart4.xml" Id="R041b661fa7e34498" /><Relationship Type="http://schemas.openxmlformats.org/officeDocument/2006/relationships/chart" Target="/xl/drawings/charts/chart5.xml" Id="Rcd76bcb81c9b42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IP throughput (Mbps)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'Σύνοψη'!$D$7:$D$11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'Σύνοψη'!$D$7:$D$11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cat>
            <c:strRef>
              <c:f>'Σύνοψη'!$A$7:$A$11</c:f>
              <c:strCache>
                <c:ptCount val="0"/>
              </c:strCache>
            </c:strRef>
          </c:cat>
          <c:val>
            <c:numRef>
              <c:f>'Σύνοψη'!$C$7:$C$11</c:f>
              <c:numCache>
                <c:formatCode>0.000000</c:formatCode>
                <c:ptCount val="5"/>
                <c:pt idx="0">
                  <c:v>203.9995104</c:v>
                </c:pt>
                <c:pt idx="1">
                  <c:v>203.9995104</c:v>
                </c:pt>
                <c:pt idx="2">
                  <c:v>203.9995104</c:v>
                </c:pt>
                <c:pt idx="3">
                  <c:v>203.9995104</c:v>
                </c:pt>
                <c:pt idx="4">
                  <c:v>203.9995104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34.5994369599999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Goodput (Mbps)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'Σύνοψη'!$F$7:$F$11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'Σύνοψη'!$F$7:$F$11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cat>
            <c:strRef>
              <c:f>'Σύνοψη'!$A$7:$A$11</c:f>
              <c:strCache>
                <c:ptCount val="0"/>
              </c:strCache>
            </c:strRef>
          </c:cat>
          <c:val>
            <c:numRef>
              <c:f>'Σύνοψη'!$E$7:$E$11</c:f>
              <c:numCache>
                <c:formatCode>0.000000</c:formatCode>
                <c:ptCount val="5"/>
                <c:pt idx="0">
                  <c:v>199.99952</c:v>
                </c:pt>
                <c:pt idx="1">
                  <c:v>199.99952</c:v>
                </c:pt>
                <c:pt idx="2">
                  <c:v>199.99952</c:v>
                </c:pt>
                <c:pt idx="3">
                  <c:v>199.99952</c:v>
                </c:pt>
                <c:pt idx="4">
                  <c:v>199.99952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29.9994479999999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Delay (ms)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'Σύνοψη'!$H$7:$H$11</c:f>
                <c:numCache>
                  <c:formatCode>0.000000</c:formatCode>
                  <c:ptCount val="5"/>
                  <c:pt idx="0">
                    <c:v>0.0053367428019871176</c:v>
                  </c:pt>
                  <c:pt idx="1">
                    <c:v>0.005896991830248057</c:v>
                  </c:pt>
                  <c:pt idx="2">
                    <c:v>0.0053367428019871176</c:v>
                  </c:pt>
                  <c:pt idx="3">
                    <c:v>0.005896991830248057</c:v>
                  </c:pt>
                  <c:pt idx="4">
                    <c:v>0.004239503910557562</c:v>
                  </c:pt>
                </c:numCache>
              </c:numRef>
            </c:plus>
            <c:minus>
              <c:numRef>
                <c:f>'Σύνοψη'!$H$7:$H$11</c:f>
                <c:numCache>
                  <c:formatCode>0.000000</c:formatCode>
                  <c:ptCount val="5"/>
                  <c:pt idx="0">
                    <c:v>0.0053367428019871176</c:v>
                  </c:pt>
                  <c:pt idx="1">
                    <c:v>0.005896991830248057</c:v>
                  </c:pt>
                  <c:pt idx="2">
                    <c:v>0.0053367428019871176</c:v>
                  </c:pt>
                  <c:pt idx="3">
                    <c:v>0.005896991830248057</c:v>
                  </c:pt>
                  <c:pt idx="4">
                    <c:v>0.004239503910557562</c:v>
                  </c:pt>
                </c:numCache>
              </c:numRef>
            </c:minus>
          </c:errBars>
          <c:cat>
            <c:strRef>
              <c:f>'Σύνοψη'!$A$7:$A$11</c:f>
              <c:strCache>
                <c:ptCount val="0"/>
              </c:strCache>
            </c:strRef>
          </c:cat>
          <c:val>
            <c:numRef>
              <c:f>'Σύνοψη'!$G$7:$G$11</c:f>
              <c:numCache>
                <c:formatCode>0.000000</c:formatCode>
                <c:ptCount val="5"/>
                <c:pt idx="0">
                  <c:v>3.6406984797999997</c:v>
                </c:pt>
                <c:pt idx="1">
                  <c:v>3.6432216495999996</c:v>
                </c:pt>
                <c:pt idx="2">
                  <c:v>3.6406984797999997</c:v>
                </c:pt>
                <c:pt idx="3">
                  <c:v>3.6432216495999996</c:v>
                </c:pt>
                <c:pt idx="4">
                  <c:v>3.641946387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4.19648643764478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Loss after drain (%)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'Σύνοψη'!$J$7:$J$11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'Σύνοψη'!$J$7:$J$11</c:f>
                <c:numCache>
                  <c:formatCode>0.000000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cat>
            <c:strRef>
              <c:f>'Σύνοψη'!$A$7:$A$11</c:f>
              <c:strCache>
                <c:ptCount val="0"/>
              </c:strCache>
            </c:strRef>
          </c:cat>
          <c:val>
            <c:numRef>
              <c:f>'Σύνοψη'!$I$7:$I$11</c:f>
              <c:numCache>
                <c:formatCode>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Jitter (ms)</c:v>
          </c:tx>
          <c:spPr>
            <a:solidFill xmlns:a="http://schemas.openxmlformats.org/drawingml/2006/main">
              <a:srgbClr val="246B9B"/>
            </a:solidFill>
          </c:spPr>
          <c:invertIfNegative val="0"/>
          <c:errBars>
            <c:errDir val="y"/>
            <c:errBarType val="both"/>
            <c:errValType val="cust"/>
            <c:noEndCap val="0"/>
            <c:plus>
              <c:numRef>
                <c:f>'Σύνοψη'!$L$7:$L$11</c:f>
                <c:numCache>
                  <c:formatCode>0.000000</c:formatCode>
                  <c:ptCount val="5"/>
                  <c:pt idx="0">
                    <c:v>2.617226440909808e-05</c:v>
                  </c:pt>
                  <c:pt idx="1">
                    <c:v>4.755530325000948e-05</c:v>
                  </c:pt>
                  <c:pt idx="2">
                    <c:v>2.617226440909808e-05</c:v>
                  </c:pt>
                  <c:pt idx="3">
                    <c:v>4.755530325000948e-05</c:v>
                  </c:pt>
                  <c:pt idx="4">
                    <c:v>2.9431860231727864e-05</c:v>
                  </c:pt>
                </c:numCache>
              </c:numRef>
            </c:plus>
            <c:minus>
              <c:numRef>
                <c:f>'Σύνοψη'!$L$7:$L$11</c:f>
                <c:numCache>
                  <c:formatCode>0.000000</c:formatCode>
                  <c:ptCount val="5"/>
                  <c:pt idx="0">
                    <c:v>2.617226440909808e-05</c:v>
                  </c:pt>
                  <c:pt idx="1">
                    <c:v>4.755530325000948e-05</c:v>
                  </c:pt>
                  <c:pt idx="2">
                    <c:v>2.617226440909808e-05</c:v>
                  </c:pt>
                  <c:pt idx="3">
                    <c:v>4.755530325000948e-05</c:v>
                  </c:pt>
                  <c:pt idx="4">
                    <c:v>2.9431860231727864e-05</c:v>
                  </c:pt>
                </c:numCache>
              </c:numRef>
            </c:minus>
          </c:errBars>
          <c:cat>
            <c:strRef>
              <c:f>'Σύνοψη'!$A$7:$A$11</c:f>
              <c:strCache>
                <c:ptCount val="0"/>
              </c:strCache>
            </c:strRef>
          </c:cat>
          <c:val>
            <c:numRef>
              <c:f>'Σύνοψη'!$K$7:$K$11</c:f>
              <c:numCache>
                <c:formatCode>0.000000</c:formatCode>
                <c:ptCount val="5"/>
                <c:pt idx="0">
                  <c:v>0.09902407059999999</c:v>
                </c:pt>
                <c:pt idx="1">
                  <c:v>0.09903443519999999</c:v>
                </c:pt>
                <c:pt idx="2">
                  <c:v>0.09902407059999999</c:v>
                </c:pt>
                <c:pt idx="3">
                  <c:v>0.09903443519999999</c:v>
                </c:pt>
                <c:pt idx="4">
                  <c:v>0.0990411658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0.11394428907873749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c209daa7134d2e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e55af374f40a9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42f01c3a144b8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1b661fa7e34498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6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76bcb81c9b42e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782D34D-8AB4-4CD2-A391-447D2D89FF3E}"/>
</xltc:personList>
</file>

<file path=xl/tables/table1.xml><?xml version="1.0" encoding="utf-8"?>
<x:table xmlns:x="http://schemas.openxmlformats.org/spreadsheetml/2006/main" id="1" name="SchedulerMeasurements" displayName="SchedulerMeasurements" ref="A1:AN26" headerRowCount="1" totalsRowCount="0" totalsRowShown="0">
  <x:tableColumns count="40">
    <x:tableColumn id="1" name="status"/>
    <x:tableColumn id="2" name="experiment_index"/>
    <x:tableColumn id="3" name="experiment_id"/>
    <x:tableColumn id="4" name="n8n_execution_id"/>
    <x:tableColumn id="5" name="data_source"/>
    <x:tableColumn id="6" name="config_path"/>
    <x:tableColumn id="7" name="results_path"/>
    <x:tableColumn id="8" name="experiment_dir"/>
    <x:tableColumn id="9" name="scheduler_type"/>
    <x:tableColumn id="10" name="harq_enabled"/>
    <x:tableColumn id="11" name="harq_max_retransmissions"/>
    <x:tableColumn id="12" name="harq_processes"/>
    <x:tableColumn id="13" name="gnb_antenna_model"/>
    <x:tableColumn id="14" name="gnb_antenna_max_gain_dbi"/>
    <x:tableColumn id="15" name="gnb_antenna_orientation_deg"/>
    <x:tableColumn id="16" name="gnb_antenna_horizontal_beamwidth_deg"/>
    <x:tableColumn id="17" name="gnb_antenna_vertical_beamwidth_deg"/>
    <x:tableColumn id="18" name="gnb_antenna_effective_gain_toward_ue_db"/>
    <x:tableColumn id="19" name="carrier_frequency_hz"/>
    <x:tableColumn id="20" name="ue_distance_2d_m"/>
    <x:tableColumn id="21" name="ue_distance_3d_m"/>
    <x:tableColumn id="22" name="ue_tx_power_dbm"/>
    <x:tableColumn id="23" name="offered_load_mbps"/>
    <x:tableColumn id="24" name="bandwidth_hz"/>
    <x:tableColumn id="25" name="numerology"/>
    <x:tableColumn id="26" name="tdd_pattern"/>
    <x:tableColumn id="27" name="packet_size_bytes"/>
    <x:tableColumn id="28" name="rlc_buffer_size_bytes"/>
    <x:tableColumn id="29" name="rng_seed"/>
    <x:tableColumn id="30" name="rng_run"/>
    <x:tableColumn id="31" name="throughput_mbps"/>
    <x:tableColumn id="32" name="app_goodput_mbps"/>
    <x:tableColumn id="33" name="end_to_end_delay_ms"/>
    <x:tableColumn id="34" name="jitter_ms"/>
    <x:tableColumn id="35" name="loss_fraction"/>
    <x:tableColumn id="36" name="tx_packets"/>
    <x:tableColumn id="37" name="rx_packets"/>
    <x:tableColumn id="38" name="ip_rx_bytes"/>
    <x:tableColumn id="39" name="unreceived_packets_after_drain"/>
    <x:tableColumn id="40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5" dT="2026-10-13T22:27:40.827" personId="{0782D34D-8AB4-4CD2-A391-447D2D89FF3E}" id="{28C5B70B-BDFB-430D-B870-2FD85CF1224F}">
    <xltc:text>Τα συμπεράσματα αφορούν μόνο το συγκεκριμένο σενάριο 1 UE / 1 UDP CBR flow. Δεν αξιολογήθηκαν fairness πολλών χρηστών ή διαφορετικές απαιτήσεις QoS μεταξύ ροών.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d855957bbc04abd" /><Relationship Type="http://schemas.openxmlformats.org/officeDocument/2006/relationships/vmlDrawing" Target="/xl/drawings/vmldrawing.vml" Id="Re843ad52c69a42f7" /><Relationship Type="http://schemas.microsoft.com/office/2017/10/relationships/threadedComment" Target="/xl/threadedcomments/threadedcomment.xml" Id="R80417fbb13054d9e" /><Relationship Type="http://schemas.openxmlformats.org/officeDocument/2006/relationships/drawing" Target="/xl/drawings/drawing1.xml" Id="Rc33727e788504b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0f18d903194f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4" customHeight="1">
      <x:c r="A2" s="9" t="str">
        <x:v>Scheduler type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4" customHeight="1">
      <x:c r="A4" s="8" t="str">
        <x:v>25 επιτυχείς προσομοιώσεις. Seed 42, runs 1–5. Μέσος όρος και δειγματική τυπική απόκλιση (SD).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 ht="60" customHeight="1">
      <x:c r="A6" s="11" t="str">
        <x:v>Scheduler type</x:v>
      </x:c>
      <x:c r="B6" s="11" t="str">
        <x:v>n</x:v>
      </x:c>
      <x:c r="C6" s="11" t="str">
        <x:v>IP throughput (Mbps)</x:v>
      </x:c>
      <x:c r="D6" s="11" t="str">
        <x:v>SD (Mbps)</x:v>
      </x:c>
      <x:c r="E6" s="11" t="str">
        <x:v>Goodput (Mbps)</x:v>
      </x:c>
      <x:c r="F6" s="11" t="str">
        <x:v>SD (Mbps)</x:v>
      </x:c>
      <x:c r="G6" s="11" t="str">
        <x:v>Delay (ms)</x:v>
      </x:c>
      <x:c r="H6" s="11" t="str">
        <x:v>SD (ms)</x:v>
      </x:c>
      <x:c r="I6" s="11" t="str">
        <x:v>Loss after drain (%)</x:v>
      </x:c>
      <x:c r="J6" s="11" t="str">
        <x:v>SD (ποσ. μον.)</x:v>
      </x:c>
      <x:c r="K6" s="11" t="str">
        <x:v>Jitter (ms)</x:v>
      </x:c>
      <x:c r="L6" s="11" t="str">
        <x:v>SD (ms)</x:v>
      </x:c>
    </x:row>
    <x:row r="7" ht="24" customHeight="1">
      <x:c r="A7" s="8" t="str">
        <x:v>TdmaRR</x:v>
      </x:c>
      <x:c r="B7" s="8" t="n">
        <x:f>COUNT('Μετρήσεις'!AD2:AD6)</x:f>
        <x:v>5</x:v>
      </x:c>
      <x:c r="C7" s="12" t="n">
        <x:f>AVERAGE('Μετρήσεις'!AE2:AE6)*1</x:f>
        <x:v>203.9995104</x:v>
      </x:c>
      <x:c r="D7" s="12" t="n">
        <x:f>STDEV('Μετρήσεις'!AE2:AE6)*1</x:f>
        <x:v>0</x:v>
      </x:c>
      <x:c r="E7" s="12" t="n">
        <x:f>AVERAGE('Μετρήσεις'!AF2:AF6)*1</x:f>
        <x:v>199.99952</x:v>
      </x:c>
      <x:c r="F7" s="12" t="n">
        <x:f>STDEV('Μετρήσεις'!AF2:AF6)*1</x:f>
        <x:v>0</x:v>
      </x:c>
      <x:c r="G7" s="12" t="n">
        <x:f>AVERAGE('Μετρήσεις'!AG2:AG6)*1</x:f>
        <x:v>3.6406984797999997</x:v>
      </x:c>
      <x:c r="H7" s="12" t="n">
        <x:f>STDEV('Μετρήσεις'!AG2:AG6)*1</x:f>
        <x:v>0.0053367428019871176</x:v>
      </x:c>
      <x:c r="I7" s="12" t="n">
        <x:f>AVERAGE('Μετρήσεις'!AI2:AI6)*100</x:f>
        <x:v>0</x:v>
      </x:c>
      <x:c r="J7" s="12" t="n">
        <x:f>STDEV('Μετρήσεις'!AI2:AI6)*100</x:f>
        <x:v>0</x:v>
      </x:c>
      <x:c r="K7" s="12" t="n">
        <x:f>AVERAGE('Μετρήσεις'!AH2:AH6)*1</x:f>
        <x:v>0.09902407059999999</x:v>
      </x:c>
      <x:c r="L7" s="12" t="n">
        <x:f>STDEV('Μετρήσεις'!AH2:AH6)*1</x:f>
        <x:v>0.00002617226440909808</x:v>
      </x:c>
    </x:row>
    <x:row r="8" ht="24" customHeight="1">
      <x:c r="A8" s="8" t="str">
        <x:v>TdmaPF</x:v>
      </x:c>
      <x:c r="B8" s="8" t="n">
        <x:f>COUNT('Μετρήσεις'!AD7:AD11)</x:f>
        <x:v>5</x:v>
      </x:c>
      <x:c r="C8" s="12" t="n">
        <x:f>AVERAGE('Μετρήσεις'!AE7:AE11)*1</x:f>
        <x:v>203.9995104</x:v>
      </x:c>
      <x:c r="D8" s="12" t="n">
        <x:f>STDEV('Μετρήσεις'!AE7:AE11)*1</x:f>
        <x:v>0</x:v>
      </x:c>
      <x:c r="E8" s="12" t="n">
        <x:f>AVERAGE('Μετρήσεις'!AF7:AF11)*1</x:f>
        <x:v>199.99952</x:v>
      </x:c>
      <x:c r="F8" s="12" t="n">
        <x:f>STDEV('Μετρήσεις'!AF7:AF11)*1</x:f>
        <x:v>0</x:v>
      </x:c>
      <x:c r="G8" s="12" t="n">
        <x:f>AVERAGE('Μετρήσεις'!AG7:AG11)*1</x:f>
        <x:v>3.6432216495999996</x:v>
      </x:c>
      <x:c r="H8" s="12" t="n">
        <x:f>STDEV('Μετρήσεις'!AG7:AG11)*1</x:f>
        <x:v>0.005896991830248057</x:v>
      </x:c>
      <x:c r="I8" s="12" t="n">
        <x:f>AVERAGE('Μετρήσεις'!AI7:AI11)*100</x:f>
        <x:v>0</x:v>
      </x:c>
      <x:c r="J8" s="12" t="n">
        <x:f>STDEV('Μετρήσεις'!AI7:AI11)*100</x:f>
        <x:v>0</x:v>
      </x:c>
      <x:c r="K8" s="12" t="n">
        <x:f>AVERAGE('Μετρήσεις'!AH7:AH11)*1</x:f>
        <x:v>0.09903443519999999</x:v>
      </x:c>
      <x:c r="L8" s="12" t="n">
        <x:f>STDEV('Μετρήσεις'!AH7:AH11)*1</x:f>
        <x:v>0.00004755530325000948</x:v>
      </x:c>
    </x:row>
    <x:row r="9" ht="24" customHeight="1">
      <x:c r="A9" s="8" t="str">
        <x:v>TdmaMR</x:v>
      </x:c>
      <x:c r="B9" s="8" t="n">
        <x:f>COUNT('Μετρήσεις'!AD12:AD16)</x:f>
        <x:v>5</x:v>
      </x:c>
      <x:c r="C9" s="12" t="n">
        <x:f>AVERAGE('Μετρήσεις'!AE12:AE16)*1</x:f>
        <x:v>203.9995104</x:v>
      </x:c>
      <x:c r="D9" s="12" t="n">
        <x:f>STDEV('Μετρήσεις'!AE12:AE16)*1</x:f>
        <x:v>0</x:v>
      </x:c>
      <x:c r="E9" s="12" t="n">
        <x:f>AVERAGE('Μετρήσεις'!AF12:AF16)*1</x:f>
        <x:v>199.99952</x:v>
      </x:c>
      <x:c r="F9" s="12" t="n">
        <x:f>STDEV('Μετρήσεις'!AF12:AF16)*1</x:f>
        <x:v>0</x:v>
      </x:c>
      <x:c r="G9" s="12" t="n">
        <x:f>AVERAGE('Μετρήσεις'!AG12:AG16)*1</x:f>
        <x:v>3.6406984797999997</x:v>
      </x:c>
      <x:c r="H9" s="12" t="n">
        <x:f>STDEV('Μετρήσεις'!AG12:AG16)*1</x:f>
        <x:v>0.0053367428019871176</x:v>
      </x:c>
      <x:c r="I9" s="12" t="n">
        <x:f>AVERAGE('Μετρήσεις'!AI12:AI16)*100</x:f>
        <x:v>0</x:v>
      </x:c>
      <x:c r="J9" s="12" t="n">
        <x:f>STDEV('Μετρήσεις'!AI12:AI16)*100</x:f>
        <x:v>0</x:v>
      </x:c>
      <x:c r="K9" s="12" t="n">
        <x:f>AVERAGE('Μετρήσεις'!AH12:AH16)*1</x:f>
        <x:v>0.09902407059999999</x:v>
      </x:c>
      <x:c r="L9" s="12" t="n">
        <x:f>STDEV('Μετρήσεις'!AH12:AH16)*1</x:f>
        <x:v>0.00002617226440909808</x:v>
      </x:c>
    </x:row>
    <x:row r="10" ht="24" customHeight="1">
      <x:c r="A10" s="8" t="str">
        <x:v>TdmaQos</x:v>
      </x:c>
      <x:c r="B10" s="8" t="n">
        <x:f>COUNT('Μετρήσεις'!AD17:AD21)</x:f>
        <x:v>5</x:v>
      </x:c>
      <x:c r="C10" s="12" t="n">
        <x:f>AVERAGE('Μετρήσεις'!AE17:AE21)*1</x:f>
        <x:v>203.9995104</x:v>
      </x:c>
      <x:c r="D10" s="12" t="n">
        <x:f>STDEV('Μετρήσεις'!AE17:AE21)*1</x:f>
        <x:v>0</x:v>
      </x:c>
      <x:c r="E10" s="12" t="n">
        <x:f>AVERAGE('Μετρήσεις'!AF17:AF21)*1</x:f>
        <x:v>199.99952</x:v>
      </x:c>
      <x:c r="F10" s="12" t="n">
        <x:f>STDEV('Μετρήσεις'!AF17:AF21)*1</x:f>
        <x:v>0</x:v>
      </x:c>
      <x:c r="G10" s="12" t="n">
        <x:f>AVERAGE('Μετρήσεις'!AG17:AG21)*1</x:f>
        <x:v>3.6432216495999996</x:v>
      </x:c>
      <x:c r="H10" s="12" t="n">
        <x:f>STDEV('Μετρήσεις'!AG17:AG21)*1</x:f>
        <x:v>0.005896991830248057</x:v>
      </x:c>
      <x:c r="I10" s="12" t="n">
        <x:f>AVERAGE('Μετρήσεις'!AI17:AI21)*100</x:f>
        <x:v>0</x:v>
      </x:c>
      <x:c r="J10" s="12" t="n">
        <x:f>STDEV('Μετρήσεις'!AI17:AI21)*100</x:f>
        <x:v>0</x:v>
      </x:c>
      <x:c r="K10" s="12" t="n">
        <x:f>AVERAGE('Μετρήσεις'!AH17:AH21)*1</x:f>
        <x:v>0.09903443519999999</x:v>
      </x:c>
      <x:c r="L10" s="12" t="n">
        <x:f>STDEV('Μετρήσεις'!AH17:AH21)*1</x:f>
        <x:v>0.00004755530325000948</x:v>
      </x:c>
    </x:row>
    <x:row r="11" ht="24" customHeight="1">
      <x:c r="A11" s="8" t="str">
        <x:v>TdmaRandom</x:v>
      </x:c>
      <x:c r="B11" s="8" t="n">
        <x:f>COUNT('Μετρήσεις'!AD22:AD26)</x:f>
        <x:v>5</x:v>
      </x:c>
      <x:c r="C11" s="12" t="n">
        <x:f>AVERAGE('Μετρήσεις'!AE22:AE26)*1</x:f>
        <x:v>203.9995104</x:v>
      </x:c>
      <x:c r="D11" s="12" t="n">
        <x:f>STDEV('Μετρήσεις'!AE22:AE26)*1</x:f>
        <x:v>0</x:v>
      </x:c>
      <x:c r="E11" s="12" t="n">
        <x:f>AVERAGE('Μετρήσεις'!AF22:AF26)*1</x:f>
        <x:v>199.99952</x:v>
      </x:c>
      <x:c r="F11" s="12" t="n">
        <x:f>STDEV('Μετρήσεις'!AF22:AF26)*1</x:f>
        <x:v>0</x:v>
      </x:c>
      <x:c r="G11" s="12" t="n">
        <x:f>AVERAGE('Μετρήσεις'!AG22:AG26)*1</x:f>
        <x:v>3.641946387</x:v>
      </x:c>
      <x:c r="H11" s="12" t="n">
        <x:f>STDEV('Μετρήσεις'!AG22:AG26)*1</x:f>
        <x:v>0.004239503910557562</x:v>
      </x:c>
      <x:c r="I11" s="12" t="n">
        <x:f>AVERAGE('Μετρήσεις'!AI22:AI26)*100</x:f>
        <x:v>0</x:v>
      </x:c>
      <x:c r="J11" s="12" t="n">
        <x:f>STDEV('Μετρήσεις'!AI22:AI26)*100</x:f>
        <x:v>0</x:v>
      </x:c>
      <x:c r="K11" s="12" t="n">
        <x:f>AVERAGE('Μετρήσεις'!AH22:AH26)*1</x:f>
        <x:v>0.0990411658</x:v>
      </x:c>
      <x:c r="L11" s="12" t="n">
        <x:f>STDEV('Μετρήσεις'!AH22:AH26)*1</x:f>
        <x:v>0.000029431860231727864</x:v>
      </x:c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</x:row>
    <x:row r="13" ht="24" customHeight="1">
      <x:c r="A13" s="8" t="str">
        <x:v>Γραφήματα: μέσος όρος ±1 SD, όχι διάστημα εμπιστοσύνης. Μηδενική SD: η μπάρα δεν διακρίνεται.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</x:row>
    <x:row r="15" ht="24" customHeight="1">
      <x:c r="A15" s="8" t="str">
        <x:v>Πεδίο εφαρμογής: 1 UE και 1 ροή. Δεν εξετάζεται κατανομή πόρων ή fairness μεταξύ πολλών χρηστών.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 ht="24" customHeight="1">
      <x:c r="A17" s="8" t="str">
        <x:v>Ίδιο throughput/goodput και μηδενική απώλεια δεν αποδεικνύουν ισοδυναμία των schedulers σε άλλα σενάρια.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 ht="24" customHeight="1">
      <x:c r="A19" s="8" t="str">
        <x:v>Μελετήθηκαν TdmaRR, TdmaPF, TdmaMR, TdmaQos, TdmaRandom. Το TdmaAi εξαιρέθηκε από τη μελέτη.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  <x:row r="23" ht="24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</x:row>
    <x:row r="24" ht="24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</x:row>
    <x:row r="25" ht="24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 ht="24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 ht="24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 ht="24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 ht="24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 ht="24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 ht="24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 ht="24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 ht="24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 ht="24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 ht="24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 ht="24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 ht="24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 ht="24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 ht="24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 ht="24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 ht="24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 ht="24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 ht="24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 ht="24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 ht="24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 ht="24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 ht="24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 ht="24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 ht="24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 ht="24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 ht="24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 ht="24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 ht="24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 ht="24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 ht="24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 ht="24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 ht="24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 ht="24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 ht="24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 ht="24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 ht="24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 ht="24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 ht="24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 ht="24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 ht="24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 ht="24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 ht="24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 ht="24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 ht="24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 ht="24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 ht="24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 ht="24" customHeight="1">
      <x:c r="A72" s="8" t="str">
        <x:v>Σταθερά: HARQ ON (έως 3 retransmissions), 16 processes, RLC buffer 1048576 bytes.</x:v>
      </x:c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 ht="24" customHeight="1">
      <x:c r="A73" s="8" t="str">
        <x:v>3.5 GHz, bandwidth 100 MHz, απόσταση 100 m, UE Tx 10 dBm, offered load 200 Mbps, payload 1400 bytes.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 ht="24" customHeight="1">
      <x:c r="A74" s="8" t="str">
        <x:v>Numerology 2, TDD DL|UL|UL|UL|. Cosine gain 0 dBi, orientation 0°, horizontal 120°, vertical 360°.</x:v>
      </x:c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 ht="24" customHeight="1">
      <x:c r="A75" s="8" t="str">
        <x:v>1 UE, 1 gNB, UDP uplink CBR, Friis χωρίς fading/shadowing. Οι άλλες ρυθμίσεις παραμένουν σταθερές.</x:v>
      </x:c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 ht="24" customHeight="1">
      <x:c r="A76" s="8" t="str">
        <x:v>Application 1–11 s, drain 2 s. Throughput/goodput: παραληφθέντα bytes ×8 /10 s, περιλαμβάνοντας παραλαβές στο drain.</x:v>
      </x:c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 ht="24" customHeight="1">
      <x:c r="A77" s="8" t="str">
        <x:v>IP throughput περιλαμβάνει headers. Goodput αφορά payload. Delay/jitter: μόνο παραληφθέντα πακέτα.</x:v>
      </x:c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 ht="24" customHeight="1">
      <x:c r="A78" s="8" t="str">
        <x:v>Loss after drain: μη παραληφθέντα / απεσταλμένα· γενικά μπορεί να περιλαμβάνει πακέτα ακόμη σε ουρά.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 ht="24" customHeight="1">
      <x:c r="A79" s="8" t="str">
        <x:v>Σε όλες τις 25 μετρήσεις: goodput 199.99952 Mbps, IP throughput 203.9995104 Mbps και μηδενική απώλεια.</x:v>
      </x:c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 ht="24" customHeight="1">
      <x:c r="A80" s="8" t="str">
        <x:v>Οι διαφορές delay/jitter παρουσιάζονται χωρίς ισχυρισμό στατιστικής σημαντικότητας ή γενικής υπεροχής scheduler.</x:v>
      </x:c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 ht="24" customHeight="1">
      <x:c r="A81" s="8" t="str">
        <x:v>Η SD είναι δειγματική τυπική απόκλιση από 5 runs, όχι διάστημα εμπιστοσύνης.</x:v>
      </x:c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 ht="24" customHeight="1">
      <x:c r="A82" s="8" t="str">
        <x:v>Πηγές: executions 183–187, batch_dataset.csv / batch_summary.json / batch_failures.json. source_csv ανά γραμμή.</x:v>
      </x:c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 ht="24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 ht="24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</x:sheetData>
  <x:pageMargins left="0.7" right="0.7" top="0.75" bottom="0.75" header="0.3" footer="0.3"/>
  <x:drawing xmlns:r="http://schemas.openxmlformats.org/officeDocument/2006/relationships" r:id="Rc33727e788504b3d"/>
  <x:legacyDrawing xmlns:r="http://schemas.openxmlformats.org/officeDocument/2006/relationships" r:id="Re843ad52c69a42f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5" hidden="0" customWidth="1"/>
    <x:col min="4" max="4" width="22" hidden="0" customWidth="1"/>
    <x:col min="5" max="5" width="22" hidden="0" customWidth="1"/>
    <x:col min="6" max="6" width="65" hidden="0" customWidth="1"/>
    <x:col min="7" max="7" width="65" hidden="0" customWidth="1"/>
    <x:col min="8" max="8" width="65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65" hidden="0" customWidth="1"/>
  </x:cols>
  <x:sheetData>
    <x:row r="1" ht="76" customHeight="1">
      <x:c r="A1" s="6" t="str">
        <x:v>status</x:v>
      </x:c>
      <x:c r="B1" s="6" t="str">
        <x:v>experiment_index</x:v>
      </x:c>
      <x:c r="C1" s="6" t="str">
        <x:v>experiment_id</x:v>
      </x:c>
      <x:c r="D1" s="6" t="str">
        <x:v>n8n_execution_id</x:v>
      </x:c>
      <x:c r="E1" s="6" t="str">
        <x:v>data_source</x:v>
      </x:c>
      <x:c r="F1" s="6" t="str">
        <x:v>config_path</x:v>
      </x:c>
      <x:c r="G1" s="6" t="str">
        <x:v>results_path</x:v>
      </x:c>
      <x:c r="H1" s="6" t="str">
        <x:v>experiment_dir</x:v>
      </x:c>
      <x:c r="I1" s="6" t="str">
        <x:v>scheduler_type</x:v>
      </x:c>
      <x:c r="J1" s="6" t="str">
        <x:v>harq_enabled</x:v>
      </x:c>
      <x:c r="K1" s="6" t="str">
        <x:v>harq_max_retransmissions</x:v>
      </x:c>
      <x:c r="L1" s="6" t="str">
        <x:v>harq_processes</x:v>
      </x:c>
      <x:c r="M1" s="6" t="str">
        <x:v>gnb_antenna_model</x:v>
      </x:c>
      <x:c r="N1" s="6" t="str">
        <x:v>gnb_antenna_max_gain_dbi</x:v>
      </x:c>
      <x:c r="O1" s="6" t="str">
        <x:v>gnb_antenna_orientation_deg</x:v>
      </x:c>
      <x:c r="P1" s="6" t="str">
        <x:v>gnb_antenna_horizontal_beamwidth_deg</x:v>
      </x:c>
      <x:c r="Q1" s="6" t="str">
        <x:v>gnb_antenna_vertical_beamwidth_deg</x:v>
      </x:c>
      <x:c r="R1" s="6" t="str">
        <x:v>gnb_antenna_effective_gain_toward_ue_db</x:v>
      </x:c>
      <x:c r="S1" s="6" t="str">
        <x:v>carrier_frequency_hz</x:v>
      </x:c>
      <x:c r="T1" s="6" t="str">
        <x:v>ue_distance_2d_m</x:v>
      </x:c>
      <x:c r="U1" s="6" t="str">
        <x:v>ue_distance_3d_m</x:v>
      </x:c>
      <x:c r="V1" s="6" t="str">
        <x:v>ue_tx_power_dbm</x:v>
      </x:c>
      <x:c r="W1" s="6" t="str">
        <x:v>offered_load_mbps</x:v>
      </x:c>
      <x:c r="X1" s="6" t="str">
        <x:v>bandwidth_hz</x:v>
      </x:c>
      <x:c r="Y1" s="6" t="str">
        <x:v>numerology</x:v>
      </x:c>
      <x:c r="Z1" s="6" t="str">
        <x:v>tdd_pattern</x:v>
      </x:c>
      <x:c r="AA1" s="6" t="str">
        <x:v>packet_size_bytes</x:v>
      </x:c>
      <x:c r="AB1" s="6" t="str">
        <x:v>rlc_buffer_size_bytes</x:v>
      </x:c>
      <x:c r="AC1" s="6" t="str">
        <x:v>rng_seed</x:v>
      </x:c>
      <x:c r="AD1" s="6" t="str">
        <x:v>rng_run</x:v>
      </x:c>
      <x:c r="AE1" s="6" t="str">
        <x:v>throughput_mbps</x:v>
      </x:c>
      <x:c r="AF1" s="6" t="str">
        <x:v>app_goodput_mbps</x:v>
      </x:c>
      <x:c r="AG1" s="6" t="str">
        <x:v>end_to_end_delay_ms</x:v>
      </x:c>
      <x:c r="AH1" s="6" t="str">
        <x:v>jitter_ms</x:v>
      </x:c>
      <x:c r="AI1" s="6" t="str">
        <x:v>loss_fraction</x:v>
      </x:c>
      <x:c r="AJ1" s="6" t="str">
        <x:v>tx_packets</x:v>
      </x:c>
      <x:c r="AK1" s="6" t="str">
        <x:v>rx_packets</x:v>
      </x:c>
      <x:c r="AL1" s="6" t="str">
        <x:v>ip_rx_bytes</x:v>
      </x:c>
      <x:c r="AM1" s="6" t="str">
        <x:v>unreceived_packets_after_drain</x:v>
      </x:c>
      <x:c r="AN1" s="6" t="str">
        <x:v>source_csv</x:v>
      </x:c>
    </x:row>
    <x:row r="2" ht="24" customHeight="1">
      <x:c r="A2" s="2" t="str">
        <x:v>success</x:v>
      </x:c>
      <x:c r="B2" s="2" t="n">
        <x:v>1</x:v>
      </x:c>
      <x:c r="C2" s="2" t="str">
        <x:v>scheduler_TdmaRR_run_1</x:v>
      </x:c>
      <x:c r="D2" s="2" t="n">
        <x:v>183</x:v>
      </x:c>
      <x:c r="E2" s="2" t="str">
        <x:v>ns3</x:v>
      </x:c>
      <x:c r="F2" s="2" t="str">
        <x:v>experiments/execution_183/experiment_1/config.json</x:v>
      </x:c>
      <x:c r="G2" s="2" t="str">
        <x:v>experiments/execution_183/experiment_1/results.json</x:v>
      </x:c>
      <x:c r="H2" s="2" t="str">
        <x:v>/home/dinos/ns-allinone-3.47/ns-3.47/experiments/execution_183/experiment_1</x:v>
      </x:c>
      <x:c r="I2" s="2" t="str">
        <x:v>TdmaRR</x:v>
      </x:c>
      <x:c r="J2" s="3" t="b">
        <x:v>1</x:v>
      </x:c>
      <x:c r="K2" s="2" t="n">
        <x:v>3</x:v>
      </x:c>
      <x:c r="L2" s="2" t="n">
        <x:v>16</x:v>
      </x:c>
      <x:c r="M2" s="2" t="str">
        <x:v>Cosine</x:v>
      </x:c>
      <x:c r="N2" s="2" t="n">
        <x:v>0</x:v>
      </x:c>
      <x:c r="O2" s="2" t="n">
        <x:v>0</x:v>
      </x:c>
      <x:c r="P2" s="2" t="n">
        <x:v>120</x:v>
      </x:c>
      <x:c r="Q2" s="2" t="n">
        <x:v>360</x:v>
      </x:c>
      <x:c r="R2" s="2" t="n">
        <x:v>0</x:v>
      </x:c>
      <x:c r="S2" s="2" t="n">
        <x:v>3500000000</x:v>
      </x:c>
      <x:c r="T2" s="2" t="n">
        <x:v>100</x:v>
      </x:c>
      <x:c r="U2" s="2" t="n">
        <x:v>100.3605998</x:v>
      </x:c>
      <x:c r="V2" s="2" t="n">
        <x:v>10</x:v>
      </x:c>
      <x:c r="W2" s="2" t="n">
        <x:v>200</x:v>
      </x:c>
      <x:c r="X2" s="2" t="n">
        <x:v>100000000</x:v>
      </x:c>
      <x:c r="Y2" s="2" t="n">
        <x:v>2</x:v>
      </x:c>
      <x:c r="Z2" s="2" t="str">
        <x:v>DL|UL|UL|UL|</x:v>
      </x:c>
      <x:c r="AA2" s="2" t="n">
        <x:v>1400</x:v>
      </x:c>
      <x:c r="AB2" s="2" t="n">
        <x:v>1048576</x:v>
      </x:c>
      <x:c r="AC2" s="2" t="n">
        <x:v>42</x:v>
      </x:c>
      <x:c r="AD2" s="2" t="n">
        <x:v>1</x:v>
      </x:c>
      <x:c r="AE2" s="7" t="n">
        <x:v>203.9995104</x:v>
      </x:c>
      <x:c r="AF2" s="7" t="n">
        <x:v>199.99952</x:v>
      </x:c>
      <x:c r="AG2" s="7" t="n">
        <x:v>3.638363466</x:v>
      </x:c>
      <x:c r="AH2" s="7" t="n">
        <x:v>0.09900775</x:v>
      </x:c>
      <x:c r="AI2" s="7" t="n">
        <x:v>0</x:v>
      </x:c>
      <x:c r="AJ2" s="2" t="n">
        <x:v>178571</x:v>
      </x:c>
      <x:c r="AK2" s="2" t="n">
        <x:v>178571</x:v>
      </x:c>
      <x:c r="AL2" s="2" t="n">
        <x:v>254999388</x:v>
      </x:c>
      <x:c r="AM2" s="2" t="n">
        <x:v>0</x:v>
      </x:c>
      <x:c r="AN2" s="2" t="str">
        <x:v>experiments/execution_183/batch_dataset.csv</x:v>
      </x:c>
    </x:row>
    <x:row r="3" ht="24" customHeight="1">
      <x:c r="A3" s="2" t="str">
        <x:v>success</x:v>
      </x:c>
      <x:c r="B3" s="2" t="n">
        <x:v>1</x:v>
      </x:c>
      <x:c r="C3" s="2" t="str">
        <x:v>scheduler_TdmaRR_run_2</x:v>
      </x:c>
      <x:c r="D3" s="2" t="n">
        <x:v>184</x:v>
      </x:c>
      <x:c r="E3" s="2" t="str">
        <x:v>ns3</x:v>
      </x:c>
      <x:c r="F3" s="2" t="str">
        <x:v>experiments/execution_184/experiment_1/config.json</x:v>
      </x:c>
      <x:c r="G3" s="2" t="str">
        <x:v>experiments/execution_184/experiment_1/results.json</x:v>
      </x:c>
      <x:c r="H3" s="2" t="str">
        <x:v>/home/dinos/ns-allinone-3.47/ns-3.47/experiments/execution_184/experiment_1</x:v>
      </x:c>
      <x:c r="I3" s="2" t="str">
        <x:v>TdmaRR</x:v>
      </x:c>
      <x:c r="J3" s="3" t="b">
        <x:v>1</x:v>
      </x:c>
      <x:c r="K3" s="2" t="n">
        <x:v>3</x:v>
      </x:c>
      <x:c r="L3" s="2" t="n">
        <x:v>16</x:v>
      </x:c>
      <x:c r="M3" s="2" t="str">
        <x:v>Cosine</x:v>
      </x:c>
      <x:c r="N3" s="2" t="n">
        <x:v>0</x:v>
      </x:c>
      <x:c r="O3" s="2" t="n">
        <x:v>0</x:v>
      </x:c>
      <x:c r="P3" s="2" t="n">
        <x:v>120</x:v>
      </x:c>
      <x:c r="Q3" s="2" t="n">
        <x:v>360</x:v>
      </x:c>
      <x:c r="R3" s="2" t="n">
        <x:v>0</x:v>
      </x:c>
      <x:c r="S3" s="2" t="n">
        <x:v>3500000000</x:v>
      </x:c>
      <x:c r="T3" s="2" t="n">
        <x:v>100</x:v>
      </x:c>
      <x:c r="U3" s="2" t="n">
        <x:v>100.3605998</x:v>
      </x:c>
      <x:c r="V3" s="2" t="n">
        <x:v>10</x:v>
      </x:c>
      <x:c r="W3" s="2" t="n">
        <x:v>200</x:v>
      </x:c>
      <x:c r="X3" s="2" t="n">
        <x:v>100000000</x:v>
      </x:c>
      <x:c r="Y3" s="2" t="n">
        <x:v>2</x:v>
      </x:c>
      <x:c r="Z3" s="2" t="str">
        <x:v>DL|UL|UL|UL|</x:v>
      </x:c>
      <x:c r="AA3" s="2" t="n">
        <x:v>1400</x:v>
      </x:c>
      <x:c r="AB3" s="2" t="n">
        <x:v>1048576</x:v>
      </x:c>
      <x:c r="AC3" s="2" t="n">
        <x:v>42</x:v>
      </x:c>
      <x:c r="AD3" s="2" t="n">
        <x:v>2</x:v>
      </x:c>
      <x:c r="AE3" s="7" t="n">
        <x:v>203.9995104</x:v>
      </x:c>
      <x:c r="AF3" s="7" t="n">
        <x:v>199.99952</x:v>
      </x:c>
      <x:c r="AG3" s="7" t="n">
        <x:v>3.640713971</x:v>
      </x:c>
      <x:c r="AH3" s="7" t="n">
        <x:v>0.09902817</x:v>
      </x:c>
      <x:c r="AI3" s="7" t="n">
        <x:v>0</x:v>
      </x:c>
      <x:c r="AJ3" s="2" t="n">
        <x:v>178571</x:v>
      </x:c>
      <x:c r="AK3" s="2" t="n">
        <x:v>178571</x:v>
      </x:c>
      <x:c r="AL3" s="2" t="n">
        <x:v>254999388</x:v>
      </x:c>
      <x:c r="AM3" s="2" t="n">
        <x:v>0</x:v>
      </x:c>
      <x:c r="AN3" s="2" t="str">
        <x:v>experiments/execution_184/batch_dataset.csv</x:v>
      </x:c>
    </x:row>
    <x:row r="4" ht="24" customHeight="1">
      <x:c r="A4" s="2" t="str">
        <x:v>success</x:v>
      </x:c>
      <x:c r="B4" s="2" t="n">
        <x:v>1</x:v>
      </x:c>
      <x:c r="C4" s="2" t="str">
        <x:v>scheduler_TdmaRR_run_3</x:v>
      </x:c>
      <x:c r="D4" s="2" t="n">
        <x:v>185</x:v>
      </x:c>
      <x:c r="E4" s="2" t="str">
        <x:v>ns3</x:v>
      </x:c>
      <x:c r="F4" s="2" t="str">
        <x:v>experiments/execution_185/experiment_1/config.json</x:v>
      </x:c>
      <x:c r="G4" s="2" t="str">
        <x:v>experiments/execution_185/experiment_1/results.json</x:v>
      </x:c>
      <x:c r="H4" s="2" t="str">
        <x:v>/home/dinos/ns-allinone-3.47/ns-3.47/experiments/execution_185/experiment_1</x:v>
      </x:c>
      <x:c r="I4" s="2" t="str">
        <x:v>TdmaRR</x:v>
      </x:c>
      <x:c r="J4" s="3" t="b">
        <x:v>1</x:v>
      </x:c>
      <x:c r="K4" s="2" t="n">
        <x:v>3</x:v>
      </x:c>
      <x:c r="L4" s="2" t="n">
        <x:v>16</x:v>
      </x:c>
      <x:c r="M4" s="2" t="str">
        <x:v>Cosine</x:v>
      </x:c>
      <x:c r="N4" s="2" t="n">
        <x:v>0</x:v>
      </x:c>
      <x:c r="O4" s="2" t="n">
        <x:v>0</x:v>
      </x:c>
      <x:c r="P4" s="2" t="n">
        <x:v>120</x:v>
      </x:c>
      <x:c r="Q4" s="2" t="n">
        <x:v>360</x:v>
      </x:c>
      <x:c r="R4" s="2" t="n">
        <x:v>0</x:v>
      </x:c>
      <x:c r="S4" s="2" t="n">
        <x:v>3500000000</x:v>
      </x:c>
      <x:c r="T4" s="2" t="n">
        <x:v>100</x:v>
      </x:c>
      <x:c r="U4" s="2" t="n">
        <x:v>100.3605998</x:v>
      </x:c>
      <x:c r="V4" s="2" t="n">
        <x:v>10</x:v>
      </x:c>
      <x:c r="W4" s="2" t="n">
        <x:v>200</x:v>
      </x:c>
      <x:c r="X4" s="2" t="n">
        <x:v>100000000</x:v>
      </x:c>
      <x:c r="Y4" s="2" t="n">
        <x:v>2</x:v>
      </x:c>
      <x:c r="Z4" s="2" t="str">
        <x:v>DL|UL|UL|UL|</x:v>
      </x:c>
      <x:c r="AA4" s="2" t="n">
        <x:v>1400</x:v>
      </x:c>
      <x:c r="AB4" s="2" t="n">
        <x:v>1048576</x:v>
      </x:c>
      <x:c r="AC4" s="2" t="n">
        <x:v>42</x:v>
      </x:c>
      <x:c r="AD4" s="2" t="n">
        <x:v>3</x:v>
      </x:c>
      <x:c r="AE4" s="7" t="n">
        <x:v>203.9995104</x:v>
      </x:c>
      <x:c r="AF4" s="7" t="n">
        <x:v>199.99952</x:v>
      </x:c>
      <x:c r="AG4" s="7" t="n">
        <x:v>3.641268985</x:v>
      </x:c>
      <x:c r="AH4" s="7" t="n">
        <x:v>0.099039645</x:v>
      </x:c>
      <x:c r="AI4" s="7" t="n">
        <x:v>0</x:v>
      </x:c>
      <x:c r="AJ4" s="2" t="n">
        <x:v>178571</x:v>
      </x:c>
      <x:c r="AK4" s="2" t="n">
        <x:v>178571</x:v>
      </x:c>
      <x:c r="AL4" s="2" t="n">
        <x:v>254999388</x:v>
      </x:c>
      <x:c r="AM4" s="2" t="n">
        <x:v>0</x:v>
      </x:c>
      <x:c r="AN4" s="2" t="str">
        <x:v>experiments/execution_185/batch_dataset.csv</x:v>
      </x:c>
    </x:row>
    <x:row r="5" ht="24" customHeight="1">
      <x:c r="A5" s="2" t="str">
        <x:v>success</x:v>
      </x:c>
      <x:c r="B5" s="2" t="n">
        <x:v>1</x:v>
      </x:c>
      <x:c r="C5" s="2" t="str">
        <x:v>scheduler_TdmaRR_run_4</x:v>
      </x:c>
      <x:c r="D5" s="2" t="n">
        <x:v>186</x:v>
      </x:c>
      <x:c r="E5" s="2" t="str">
        <x:v>ns3</x:v>
      </x:c>
      <x:c r="F5" s="2" t="str">
        <x:v>experiments/execution_186/experiment_1/config.json</x:v>
      </x:c>
      <x:c r="G5" s="2" t="str">
        <x:v>experiments/execution_186/experiment_1/results.json</x:v>
      </x:c>
      <x:c r="H5" s="2" t="str">
        <x:v>/home/dinos/ns-allinone-3.47/ns-3.47/experiments/execution_186/experiment_1</x:v>
      </x:c>
      <x:c r="I5" s="2" t="str">
        <x:v>TdmaRR</x:v>
      </x:c>
      <x:c r="J5" s="3" t="b">
        <x:v>1</x:v>
      </x:c>
      <x:c r="K5" s="2" t="n">
        <x:v>3</x:v>
      </x:c>
      <x:c r="L5" s="2" t="n">
        <x:v>16</x:v>
      </x:c>
      <x:c r="M5" s="2" t="str">
        <x:v>Cosine</x:v>
      </x:c>
      <x:c r="N5" s="2" t="n">
        <x:v>0</x:v>
      </x:c>
      <x:c r="O5" s="2" t="n">
        <x:v>0</x:v>
      </x:c>
      <x:c r="P5" s="2" t="n">
        <x:v>120</x:v>
      </x:c>
      <x:c r="Q5" s="2" t="n">
        <x:v>360</x:v>
      </x:c>
      <x:c r="R5" s="2" t="n">
        <x:v>0</x:v>
      </x:c>
      <x:c r="S5" s="2" t="n">
        <x:v>3500000000</x:v>
      </x:c>
      <x:c r="T5" s="2" t="n">
        <x:v>100</x:v>
      </x:c>
      <x:c r="U5" s="2" t="n">
        <x:v>100.3605998</x:v>
      </x:c>
      <x:c r="V5" s="2" t="n">
        <x:v>10</x:v>
      </x:c>
      <x:c r="W5" s="2" t="n">
        <x:v>200</x:v>
      </x:c>
      <x:c r="X5" s="2" t="n">
        <x:v>100000000</x:v>
      </x:c>
      <x:c r="Y5" s="2" t="n">
        <x:v>2</x:v>
      </x:c>
      <x:c r="Z5" s="2" t="str">
        <x:v>DL|UL|UL|UL|</x:v>
      </x:c>
      <x:c r="AA5" s="2" t="n">
        <x:v>1400</x:v>
      </x:c>
      <x:c r="AB5" s="2" t="n">
        <x:v>1048576</x:v>
      </x:c>
      <x:c r="AC5" s="2" t="n">
        <x:v>42</x:v>
      </x:c>
      <x:c r="AD5" s="2" t="n">
        <x:v>4</x:v>
      </x:c>
      <x:c r="AE5" s="7" t="n">
        <x:v>203.9995104</x:v>
      </x:c>
      <x:c r="AF5" s="7" t="n">
        <x:v>199.99952</x:v>
      </x:c>
      <x:c r="AG5" s="7" t="n">
        <x:v>3.634271764</x:v>
      </x:c>
      <x:c r="AH5" s="7" t="n">
        <x:v>0.098989163</x:v>
      </x:c>
      <x:c r="AI5" s="7" t="n">
        <x:v>0</x:v>
      </x:c>
      <x:c r="AJ5" s="2" t="n">
        <x:v>178571</x:v>
      </x:c>
      <x:c r="AK5" s="2" t="n">
        <x:v>178571</x:v>
      </x:c>
      <x:c r="AL5" s="2" t="n">
        <x:v>254999388</x:v>
      </x:c>
      <x:c r="AM5" s="2" t="n">
        <x:v>0</x:v>
      </x:c>
      <x:c r="AN5" s="2" t="str">
        <x:v>experiments/execution_186/batch_dataset.csv</x:v>
      </x:c>
    </x:row>
    <x:row r="6" ht="24" customHeight="1">
      <x:c r="A6" s="2" t="str">
        <x:v>success</x:v>
      </x:c>
      <x:c r="B6" s="2" t="n">
        <x:v>1</x:v>
      </x:c>
      <x:c r="C6" s="2" t="str">
        <x:v>scheduler_TdmaRR_run_5</x:v>
      </x:c>
      <x:c r="D6" s="2" t="n">
        <x:v>187</x:v>
      </x:c>
      <x:c r="E6" s="2" t="str">
        <x:v>ns3</x:v>
      </x:c>
      <x:c r="F6" s="2" t="str">
        <x:v>experiments/execution_187/experiment_1/config.json</x:v>
      </x:c>
      <x:c r="G6" s="2" t="str">
        <x:v>experiments/execution_187/experiment_1/results.json</x:v>
      </x:c>
      <x:c r="H6" s="2" t="str">
        <x:v>/home/dinos/ns-allinone-3.47/ns-3.47/experiments/execution_187/experiment_1</x:v>
      </x:c>
      <x:c r="I6" s="2" t="str">
        <x:v>TdmaRR</x:v>
      </x:c>
      <x:c r="J6" s="3" t="b">
        <x:v>1</x:v>
      </x:c>
      <x:c r="K6" s="2" t="n">
        <x:v>3</x:v>
      </x:c>
      <x:c r="L6" s="2" t="n">
        <x:v>16</x:v>
      </x:c>
      <x:c r="M6" s="2" t="str">
        <x:v>Cosine</x:v>
      </x:c>
      <x:c r="N6" s="2" t="n">
        <x:v>0</x:v>
      </x:c>
      <x:c r="O6" s="2" t="n">
        <x:v>0</x:v>
      </x:c>
      <x:c r="P6" s="2" t="n">
        <x:v>120</x:v>
      </x:c>
      <x:c r="Q6" s="2" t="n">
        <x:v>360</x:v>
      </x:c>
      <x:c r="R6" s="2" t="n">
        <x:v>0</x:v>
      </x:c>
      <x:c r="S6" s="2" t="n">
        <x:v>3500000000</x:v>
      </x:c>
      <x:c r="T6" s="2" t="n">
        <x:v>100</x:v>
      </x:c>
      <x:c r="U6" s="2" t="n">
        <x:v>100.3605998</x:v>
      </x:c>
      <x:c r="V6" s="2" t="n">
        <x:v>10</x:v>
      </x:c>
      <x:c r="W6" s="2" t="n">
        <x:v>200</x:v>
      </x:c>
      <x:c r="X6" s="2" t="n">
        <x:v>100000000</x:v>
      </x:c>
      <x:c r="Y6" s="2" t="n">
        <x:v>2</x:v>
      </x:c>
      <x:c r="Z6" s="2" t="str">
        <x:v>DL|UL|UL|UL|</x:v>
      </x:c>
      <x:c r="AA6" s="2" t="n">
        <x:v>1400</x:v>
      </x:c>
      <x:c r="AB6" s="2" t="n">
        <x:v>1048576</x:v>
      </x:c>
      <x:c r="AC6" s="2" t="n">
        <x:v>42</x:v>
      </x:c>
      <x:c r="AD6" s="2" t="n">
        <x:v>5</x:v>
      </x:c>
      <x:c r="AE6" s="7" t="n">
        <x:v>203.9995104</x:v>
      </x:c>
      <x:c r="AF6" s="7" t="n">
        <x:v>199.99952</x:v>
      </x:c>
      <x:c r="AG6" s="7" t="n">
        <x:v>3.648874213</x:v>
      </x:c>
      <x:c r="AH6" s="7" t="n">
        <x:v>0.099055625</x:v>
      </x:c>
      <x:c r="AI6" s="7" t="n">
        <x:v>0</x:v>
      </x:c>
      <x:c r="AJ6" s="2" t="n">
        <x:v>178571</x:v>
      </x:c>
      <x:c r="AK6" s="2" t="n">
        <x:v>178571</x:v>
      </x:c>
      <x:c r="AL6" s="2" t="n">
        <x:v>254999388</x:v>
      </x:c>
      <x:c r="AM6" s="2" t="n">
        <x:v>0</x:v>
      </x:c>
      <x:c r="AN6" s="2" t="str">
        <x:v>experiments/execution_187/batch_dataset.csv</x:v>
      </x:c>
    </x:row>
    <x:row r="7" ht="24" customHeight="1">
      <x:c r="A7" s="2" t="str">
        <x:v>success</x:v>
      </x:c>
      <x:c r="B7" s="2" t="n">
        <x:v>2</x:v>
      </x:c>
      <x:c r="C7" s="2" t="str">
        <x:v>scheduler_TdmaPF_run_1</x:v>
      </x:c>
      <x:c r="D7" s="2" t="n">
        <x:v>183</x:v>
      </x:c>
      <x:c r="E7" s="2" t="str">
        <x:v>ns3</x:v>
      </x:c>
      <x:c r="F7" s="2" t="str">
        <x:v>experiments/execution_183/experiment_2/config.json</x:v>
      </x:c>
      <x:c r="G7" s="2" t="str">
        <x:v>experiments/execution_183/experiment_2/results.json</x:v>
      </x:c>
      <x:c r="H7" s="2" t="str">
        <x:v>/home/dinos/ns-allinone-3.47/ns-3.47/experiments/execution_183/experiment_2</x:v>
      </x:c>
      <x:c r="I7" s="2" t="str">
        <x:v>TdmaPF</x:v>
      </x:c>
      <x:c r="J7" s="3" t="b">
        <x:v>1</x:v>
      </x:c>
      <x:c r="K7" s="2" t="n">
        <x:v>3</x:v>
      </x:c>
      <x:c r="L7" s="2" t="n">
        <x:v>16</x:v>
      </x:c>
      <x:c r="M7" s="2" t="str">
        <x:v>Cosine</x:v>
      </x:c>
      <x:c r="N7" s="2" t="n">
        <x:v>0</x:v>
      </x:c>
      <x:c r="O7" s="2" t="n">
        <x:v>0</x:v>
      </x:c>
      <x:c r="P7" s="2" t="n">
        <x:v>120</x:v>
      </x:c>
      <x:c r="Q7" s="2" t="n">
        <x:v>360</x:v>
      </x:c>
      <x:c r="R7" s="2" t="n">
        <x:v>0</x:v>
      </x:c>
      <x:c r="S7" s="2" t="n">
        <x:v>3500000000</x:v>
      </x:c>
      <x:c r="T7" s="2" t="n">
        <x:v>100</x:v>
      </x:c>
      <x:c r="U7" s="2" t="n">
        <x:v>100.3605998</x:v>
      </x:c>
      <x:c r="V7" s="2" t="n">
        <x:v>10</x:v>
      </x:c>
      <x:c r="W7" s="2" t="n">
        <x:v>200</x:v>
      </x:c>
      <x:c r="X7" s="2" t="n">
        <x:v>100000000</x:v>
      </x:c>
      <x:c r="Y7" s="2" t="n">
        <x:v>2</x:v>
      </x:c>
      <x:c r="Z7" s="2" t="str">
        <x:v>DL|UL|UL|UL|</x:v>
      </x:c>
      <x:c r="AA7" s="2" t="n">
        <x:v>1400</x:v>
      </x:c>
      <x:c r="AB7" s="2" t="n">
        <x:v>1048576</x:v>
      </x:c>
      <x:c r="AC7" s="2" t="n">
        <x:v>42</x:v>
      </x:c>
      <x:c r="AD7" s="2" t="n">
        <x:v>1</x:v>
      </x:c>
      <x:c r="AE7" s="7" t="n">
        <x:v>203.9995104</x:v>
      </x:c>
      <x:c r="AF7" s="7" t="n">
        <x:v>199.99952</x:v>
      </x:c>
      <x:c r="AG7" s="7" t="n">
        <x:v>3.634694482</x:v>
      </x:c>
      <x:c r="AH7" s="7" t="n">
        <x:v>0.098994663</x:v>
      </x:c>
      <x:c r="AI7" s="7" t="n">
        <x:v>0</x:v>
      </x:c>
      <x:c r="AJ7" s="2" t="n">
        <x:v>178571</x:v>
      </x:c>
      <x:c r="AK7" s="2" t="n">
        <x:v>178571</x:v>
      </x:c>
      <x:c r="AL7" s="2" t="n">
        <x:v>254999388</x:v>
      </x:c>
      <x:c r="AM7" s="2" t="n">
        <x:v>0</x:v>
      </x:c>
      <x:c r="AN7" s="2" t="str">
        <x:v>experiments/execution_183/batch_dataset.csv</x:v>
      </x:c>
    </x:row>
    <x:row r="8" ht="24" customHeight="1">
      <x:c r="A8" s="2" t="str">
        <x:v>success</x:v>
      </x:c>
      <x:c r="B8" s="2" t="n">
        <x:v>2</x:v>
      </x:c>
      <x:c r="C8" s="2" t="str">
        <x:v>scheduler_TdmaPF_run_2</x:v>
      </x:c>
      <x:c r="D8" s="2" t="n">
        <x:v>184</x:v>
      </x:c>
      <x:c r="E8" s="2" t="str">
        <x:v>ns3</x:v>
      </x:c>
      <x:c r="F8" s="2" t="str">
        <x:v>experiments/execution_184/experiment_2/config.json</x:v>
      </x:c>
      <x:c r="G8" s="2" t="str">
        <x:v>experiments/execution_184/experiment_2/results.json</x:v>
      </x:c>
      <x:c r="H8" s="2" t="str">
        <x:v>/home/dinos/ns-allinone-3.47/ns-3.47/experiments/execution_184/experiment_2</x:v>
      </x:c>
      <x:c r="I8" s="2" t="str">
        <x:v>TdmaPF</x:v>
      </x:c>
      <x:c r="J8" s="3" t="b">
        <x:v>1</x:v>
      </x:c>
      <x:c r="K8" s="2" t="n">
        <x:v>3</x:v>
      </x:c>
      <x:c r="L8" s="2" t="n">
        <x:v>16</x:v>
      </x:c>
      <x:c r="M8" s="2" t="str">
        <x:v>Cosine</x:v>
      </x:c>
      <x:c r="N8" s="2" t="n">
        <x:v>0</x:v>
      </x:c>
      <x:c r="O8" s="2" t="n">
        <x:v>0</x:v>
      </x:c>
      <x:c r="P8" s="2" t="n">
        <x:v>120</x:v>
      </x:c>
      <x:c r="Q8" s="2" t="n">
        <x:v>360</x:v>
      </x:c>
      <x:c r="R8" s="2" t="n">
        <x:v>0</x:v>
      </x:c>
      <x:c r="S8" s="2" t="n">
        <x:v>3500000000</x:v>
      </x:c>
      <x:c r="T8" s="2" t="n">
        <x:v>100</x:v>
      </x:c>
      <x:c r="U8" s="2" t="n">
        <x:v>100.3605998</x:v>
      </x:c>
      <x:c r="V8" s="2" t="n">
        <x:v>10</x:v>
      </x:c>
      <x:c r="W8" s="2" t="n">
        <x:v>200</x:v>
      </x:c>
      <x:c r="X8" s="2" t="n">
        <x:v>100000000</x:v>
      </x:c>
      <x:c r="Y8" s="2" t="n">
        <x:v>2</x:v>
      </x:c>
      <x:c r="Z8" s="2" t="str">
        <x:v>DL|UL|UL|UL|</x:v>
      </x:c>
      <x:c r="AA8" s="2" t="n">
        <x:v>1400</x:v>
      </x:c>
      <x:c r="AB8" s="2" t="n">
        <x:v>1048576</x:v>
      </x:c>
      <x:c r="AC8" s="2" t="n">
        <x:v>42</x:v>
      </x:c>
      <x:c r="AD8" s="2" t="n">
        <x:v>2</x:v>
      </x:c>
      <x:c r="AE8" s="7" t="n">
        <x:v>203.9995104</x:v>
      </x:c>
      <x:c r="AF8" s="7" t="n">
        <x:v>199.99952</x:v>
      </x:c>
      <x:c r="AG8" s="7" t="n">
        <x:v>3.641092134</x:v>
      </x:c>
      <x:c r="AH8" s="7" t="n">
        <x:v>0.098983722</x:v>
      </x:c>
      <x:c r="AI8" s="7" t="n">
        <x:v>0</x:v>
      </x:c>
      <x:c r="AJ8" s="2" t="n">
        <x:v>178571</x:v>
      </x:c>
      <x:c r="AK8" s="2" t="n">
        <x:v>178571</x:v>
      </x:c>
      <x:c r="AL8" s="2" t="n">
        <x:v>254999388</x:v>
      </x:c>
      <x:c r="AM8" s="2" t="n">
        <x:v>0</x:v>
      </x:c>
      <x:c r="AN8" s="2" t="str">
        <x:v>experiments/execution_184/batch_dataset.csv</x:v>
      </x:c>
    </x:row>
    <x:row r="9" ht="24" customHeight="1">
      <x:c r="A9" s="2" t="str">
        <x:v>success</x:v>
      </x:c>
      <x:c r="B9" s="2" t="n">
        <x:v>2</x:v>
      </x:c>
      <x:c r="C9" s="2" t="str">
        <x:v>scheduler_TdmaPF_run_3</x:v>
      </x:c>
      <x:c r="D9" s="2" t="n">
        <x:v>185</x:v>
      </x:c>
      <x:c r="E9" s="2" t="str">
        <x:v>ns3</x:v>
      </x:c>
      <x:c r="F9" s="2" t="str">
        <x:v>experiments/execution_185/experiment_2/config.json</x:v>
      </x:c>
      <x:c r="G9" s="2" t="str">
        <x:v>experiments/execution_185/experiment_2/results.json</x:v>
      </x:c>
      <x:c r="H9" s="2" t="str">
        <x:v>/home/dinos/ns-allinone-3.47/ns-3.47/experiments/execution_185/experiment_2</x:v>
      </x:c>
      <x:c r="I9" s="2" t="str">
        <x:v>TdmaPF</x:v>
      </x:c>
      <x:c r="J9" s="3" t="b">
        <x:v>1</x:v>
      </x:c>
      <x:c r="K9" s="2" t="n">
        <x:v>3</x:v>
      </x:c>
      <x:c r="L9" s="2" t="n">
        <x:v>16</x:v>
      </x:c>
      <x:c r="M9" s="2" t="str">
        <x:v>Cosine</x:v>
      </x:c>
      <x:c r="N9" s="2" t="n">
        <x:v>0</x:v>
      </x:c>
      <x:c r="O9" s="2" t="n">
        <x:v>0</x:v>
      </x:c>
      <x:c r="P9" s="2" t="n">
        <x:v>120</x:v>
      </x:c>
      <x:c r="Q9" s="2" t="n">
        <x:v>360</x:v>
      </x:c>
      <x:c r="R9" s="2" t="n">
        <x:v>0</x:v>
      </x:c>
      <x:c r="S9" s="2" t="n">
        <x:v>3500000000</x:v>
      </x:c>
      <x:c r="T9" s="2" t="n">
        <x:v>100</x:v>
      </x:c>
      <x:c r="U9" s="2" t="n">
        <x:v>100.3605998</x:v>
      </x:c>
      <x:c r="V9" s="2" t="n">
        <x:v>10</x:v>
      </x:c>
      <x:c r="W9" s="2" t="n">
        <x:v>200</x:v>
      </x:c>
      <x:c r="X9" s="2" t="n">
        <x:v>100000000</x:v>
      </x:c>
      <x:c r="Y9" s="2" t="n">
        <x:v>2</x:v>
      </x:c>
      <x:c r="Z9" s="2" t="str">
        <x:v>DL|UL|UL|UL|</x:v>
      </x:c>
      <x:c r="AA9" s="2" t="n">
        <x:v>1400</x:v>
      </x:c>
      <x:c r="AB9" s="2" t="n">
        <x:v>1048576</x:v>
      </x:c>
      <x:c r="AC9" s="2" t="n">
        <x:v>42</x:v>
      </x:c>
      <x:c r="AD9" s="2" t="n">
        <x:v>3</x:v>
      </x:c>
      <x:c r="AE9" s="7" t="n">
        <x:v>203.9995104</x:v>
      </x:c>
      <x:c r="AF9" s="7" t="n">
        <x:v>199.99952</x:v>
      </x:c>
      <x:c r="AG9" s="7" t="n">
        <x:v>3.647661586</x:v>
      </x:c>
      <x:c r="AH9" s="7" t="n">
        <x:v>0.099029213</x:v>
      </x:c>
      <x:c r="AI9" s="7" t="n">
        <x:v>0</x:v>
      </x:c>
      <x:c r="AJ9" s="2" t="n">
        <x:v>178571</x:v>
      </x:c>
      <x:c r="AK9" s="2" t="n">
        <x:v>178571</x:v>
      </x:c>
      <x:c r="AL9" s="2" t="n">
        <x:v>254999388</x:v>
      </x:c>
      <x:c r="AM9" s="2" t="n">
        <x:v>0</x:v>
      </x:c>
      <x:c r="AN9" s="2" t="str">
        <x:v>experiments/execution_185/batch_dataset.csv</x:v>
      </x:c>
    </x:row>
    <x:row r="10" ht="24" customHeight="1">
      <x:c r="A10" s="2" t="str">
        <x:v>success</x:v>
      </x:c>
      <x:c r="B10" s="2" t="n">
        <x:v>2</x:v>
      </x:c>
      <x:c r="C10" s="2" t="str">
        <x:v>scheduler_TdmaPF_run_4</x:v>
      </x:c>
      <x:c r="D10" s="2" t="n">
        <x:v>186</x:v>
      </x:c>
      <x:c r="E10" s="2" t="str">
        <x:v>ns3</x:v>
      </x:c>
      <x:c r="F10" s="2" t="str">
        <x:v>experiments/execution_186/experiment_2/config.json</x:v>
      </x:c>
      <x:c r="G10" s="2" t="str">
        <x:v>experiments/execution_186/experiment_2/results.json</x:v>
      </x:c>
      <x:c r="H10" s="2" t="str">
        <x:v>/home/dinos/ns-allinone-3.47/ns-3.47/experiments/execution_186/experiment_2</x:v>
      </x:c>
      <x:c r="I10" s="2" t="str">
        <x:v>TdmaPF</x:v>
      </x:c>
      <x:c r="J10" s="3" t="b">
        <x:v>1</x:v>
      </x:c>
      <x:c r="K10" s="2" t="n">
        <x:v>3</x:v>
      </x:c>
      <x:c r="L10" s="2" t="n">
        <x:v>16</x:v>
      </x:c>
      <x:c r="M10" s="2" t="str">
        <x:v>Cosine</x:v>
      </x:c>
      <x:c r="N10" s="2" t="n">
        <x:v>0</x:v>
      </x:c>
      <x:c r="O10" s="2" t="n">
        <x:v>0</x:v>
      </x:c>
      <x:c r="P10" s="2" t="n">
        <x:v>120</x:v>
      </x:c>
      <x:c r="Q10" s="2" t="n">
        <x:v>360</x:v>
      </x:c>
      <x:c r="R10" s="2" t="n">
        <x:v>0</x:v>
      </x:c>
      <x:c r="S10" s="2" t="n">
        <x:v>3500000000</x:v>
      </x:c>
      <x:c r="T10" s="2" t="n">
        <x:v>100</x:v>
      </x:c>
      <x:c r="U10" s="2" t="n">
        <x:v>100.3605998</x:v>
      </x:c>
      <x:c r="V10" s="2" t="n">
        <x:v>10</x:v>
      </x:c>
      <x:c r="W10" s="2" t="n">
        <x:v>200</x:v>
      </x:c>
      <x:c r="X10" s="2" t="n">
        <x:v>100000000</x:v>
      </x:c>
      <x:c r="Y10" s="2" t="n">
        <x:v>2</x:v>
      </x:c>
      <x:c r="Z10" s="2" t="str">
        <x:v>DL|UL|UL|UL|</x:v>
      </x:c>
      <x:c r="AA10" s="2" t="n">
        <x:v>1400</x:v>
      </x:c>
      <x:c r="AB10" s="2" t="n">
        <x:v>1048576</x:v>
      </x:c>
      <x:c r="AC10" s="2" t="n">
        <x:v>42</x:v>
      </x:c>
      <x:c r="AD10" s="2" t="n">
        <x:v>4</x:v>
      </x:c>
      <x:c r="AE10" s="7" t="n">
        <x:v>203.9995104</x:v>
      </x:c>
      <x:c r="AF10" s="7" t="n">
        <x:v>199.99952</x:v>
      </x:c>
      <x:c r="AG10" s="7" t="n">
        <x:v>3.642952626</x:v>
      </x:c>
      <x:c r="AH10" s="7" t="n">
        <x:v>0.099094229</x:v>
      </x:c>
      <x:c r="AI10" s="7" t="n">
        <x:v>0</x:v>
      </x:c>
      <x:c r="AJ10" s="2" t="n">
        <x:v>178571</x:v>
      </x:c>
      <x:c r="AK10" s="2" t="n">
        <x:v>178571</x:v>
      </x:c>
      <x:c r="AL10" s="2" t="n">
        <x:v>254999388</x:v>
      </x:c>
      <x:c r="AM10" s="2" t="n">
        <x:v>0</x:v>
      </x:c>
      <x:c r="AN10" s="2" t="str">
        <x:v>experiments/execution_186/batch_dataset.csv</x:v>
      </x:c>
    </x:row>
    <x:row r="11" ht="24" customHeight="1">
      <x:c r="A11" s="2" t="str">
        <x:v>success</x:v>
      </x:c>
      <x:c r="B11" s="2" t="n">
        <x:v>2</x:v>
      </x:c>
      <x:c r="C11" s="2" t="str">
        <x:v>scheduler_TdmaPF_run_5</x:v>
      </x:c>
      <x:c r="D11" s="2" t="n">
        <x:v>187</x:v>
      </x:c>
      <x:c r="E11" s="2" t="str">
        <x:v>ns3</x:v>
      </x:c>
      <x:c r="F11" s="2" t="str">
        <x:v>experiments/execution_187/experiment_2/config.json</x:v>
      </x:c>
      <x:c r="G11" s="2" t="str">
        <x:v>experiments/execution_187/experiment_2/results.json</x:v>
      </x:c>
      <x:c r="H11" s="2" t="str">
        <x:v>/home/dinos/ns-allinone-3.47/ns-3.47/experiments/execution_187/experiment_2</x:v>
      </x:c>
      <x:c r="I11" s="2" t="str">
        <x:v>TdmaPF</x:v>
      </x:c>
      <x:c r="J11" s="3" t="b">
        <x:v>1</x:v>
      </x:c>
      <x:c r="K11" s="2" t="n">
        <x:v>3</x:v>
      </x:c>
      <x:c r="L11" s="2" t="n">
        <x:v>16</x:v>
      </x:c>
      <x:c r="M11" s="2" t="str">
        <x:v>Cosine</x:v>
      </x:c>
      <x:c r="N11" s="2" t="n">
        <x:v>0</x:v>
      </x:c>
      <x:c r="O11" s="2" t="n">
        <x:v>0</x:v>
      </x:c>
      <x:c r="P11" s="2" t="n">
        <x:v>120</x:v>
      </x:c>
      <x:c r="Q11" s="2" t="n">
        <x:v>360</x:v>
      </x:c>
      <x:c r="R11" s="2" t="n">
        <x:v>0</x:v>
      </x:c>
      <x:c r="S11" s="2" t="n">
        <x:v>3500000000</x:v>
      </x:c>
      <x:c r="T11" s="2" t="n">
        <x:v>100</x:v>
      </x:c>
      <x:c r="U11" s="2" t="n">
        <x:v>100.3605998</x:v>
      </x:c>
      <x:c r="V11" s="2" t="n">
        <x:v>10</x:v>
      </x:c>
      <x:c r="W11" s="2" t="n">
        <x:v>200</x:v>
      </x:c>
      <x:c r="X11" s="2" t="n">
        <x:v>100000000</x:v>
      </x:c>
      <x:c r="Y11" s="2" t="n">
        <x:v>2</x:v>
      </x:c>
      <x:c r="Z11" s="2" t="str">
        <x:v>DL|UL|UL|UL|</x:v>
      </x:c>
      <x:c r="AA11" s="2" t="n">
        <x:v>1400</x:v>
      </x:c>
      <x:c r="AB11" s="2" t="n">
        <x:v>1048576</x:v>
      </x:c>
      <x:c r="AC11" s="2" t="n">
        <x:v>42</x:v>
      </x:c>
      <x:c r="AD11" s="2" t="n">
        <x:v>5</x:v>
      </x:c>
      <x:c r="AE11" s="7" t="n">
        <x:v>203.9995104</x:v>
      </x:c>
      <x:c r="AF11" s="7" t="n">
        <x:v>199.99952</x:v>
      </x:c>
      <x:c r="AG11" s="7" t="n">
        <x:v>3.64970742</x:v>
      </x:c>
      <x:c r="AH11" s="7" t="n">
        <x:v>0.099070349</x:v>
      </x:c>
      <x:c r="AI11" s="7" t="n">
        <x:v>0</x:v>
      </x:c>
      <x:c r="AJ11" s="2" t="n">
        <x:v>178571</x:v>
      </x:c>
      <x:c r="AK11" s="2" t="n">
        <x:v>178571</x:v>
      </x:c>
      <x:c r="AL11" s="2" t="n">
        <x:v>254999388</x:v>
      </x:c>
      <x:c r="AM11" s="2" t="n">
        <x:v>0</x:v>
      </x:c>
      <x:c r="AN11" s="2" t="str">
        <x:v>experiments/execution_187/batch_dataset.csv</x:v>
      </x:c>
    </x:row>
    <x:row r="12" ht="24" customHeight="1">
      <x:c r="A12" s="2" t="str">
        <x:v>success</x:v>
      </x:c>
      <x:c r="B12" s="2" t="n">
        <x:v>3</x:v>
      </x:c>
      <x:c r="C12" s="2" t="str">
        <x:v>scheduler_TdmaMR_run_1</x:v>
      </x:c>
      <x:c r="D12" s="2" t="n">
        <x:v>183</x:v>
      </x:c>
      <x:c r="E12" s="2" t="str">
        <x:v>ns3</x:v>
      </x:c>
      <x:c r="F12" s="2" t="str">
        <x:v>experiments/execution_183/experiment_3/config.json</x:v>
      </x:c>
      <x:c r="G12" s="2" t="str">
        <x:v>experiments/execution_183/experiment_3/results.json</x:v>
      </x:c>
      <x:c r="H12" s="2" t="str">
        <x:v>/home/dinos/ns-allinone-3.47/ns-3.47/experiments/execution_183/experiment_3</x:v>
      </x:c>
      <x:c r="I12" s="2" t="str">
        <x:v>TdmaMR</x:v>
      </x:c>
      <x:c r="J12" s="3" t="b">
        <x:v>1</x:v>
      </x:c>
      <x:c r="K12" s="2" t="n">
        <x:v>3</x:v>
      </x:c>
      <x:c r="L12" s="2" t="n">
        <x:v>16</x:v>
      </x:c>
      <x:c r="M12" s="2" t="str">
        <x:v>Cosine</x:v>
      </x:c>
      <x:c r="N12" s="2" t="n">
        <x:v>0</x:v>
      </x:c>
      <x:c r="O12" s="2" t="n">
        <x:v>0</x:v>
      </x:c>
      <x:c r="P12" s="2" t="n">
        <x:v>120</x:v>
      </x:c>
      <x:c r="Q12" s="2" t="n">
        <x:v>360</x:v>
      </x:c>
      <x:c r="R12" s="2" t="n">
        <x:v>0</x:v>
      </x:c>
      <x:c r="S12" s="2" t="n">
        <x:v>3500000000</x:v>
      </x:c>
      <x:c r="T12" s="2" t="n">
        <x:v>100</x:v>
      </x:c>
      <x:c r="U12" s="2" t="n">
        <x:v>100.3605998</x:v>
      </x:c>
      <x:c r="V12" s="2" t="n">
        <x:v>10</x:v>
      </x:c>
      <x:c r="W12" s="2" t="n">
        <x:v>200</x:v>
      </x:c>
      <x:c r="X12" s="2" t="n">
        <x:v>100000000</x:v>
      </x:c>
      <x:c r="Y12" s="2" t="n">
        <x:v>2</x:v>
      </x:c>
      <x:c r="Z12" s="2" t="str">
        <x:v>DL|UL|UL|UL|</x:v>
      </x:c>
      <x:c r="AA12" s="2" t="n">
        <x:v>1400</x:v>
      </x:c>
      <x:c r="AB12" s="2" t="n">
        <x:v>1048576</x:v>
      </x:c>
      <x:c r="AC12" s="2" t="n">
        <x:v>42</x:v>
      </x:c>
      <x:c r="AD12" s="2" t="n">
        <x:v>1</x:v>
      </x:c>
      <x:c r="AE12" s="7" t="n">
        <x:v>203.9995104</x:v>
      </x:c>
      <x:c r="AF12" s="7" t="n">
        <x:v>199.99952</x:v>
      </x:c>
      <x:c r="AG12" s="7" t="n">
        <x:v>3.638363466</x:v>
      </x:c>
      <x:c r="AH12" s="7" t="n">
        <x:v>0.09900775</x:v>
      </x:c>
      <x:c r="AI12" s="7" t="n">
        <x:v>0</x:v>
      </x:c>
      <x:c r="AJ12" s="2" t="n">
        <x:v>178571</x:v>
      </x:c>
      <x:c r="AK12" s="2" t="n">
        <x:v>178571</x:v>
      </x:c>
      <x:c r="AL12" s="2" t="n">
        <x:v>254999388</x:v>
      </x:c>
      <x:c r="AM12" s="2" t="n">
        <x:v>0</x:v>
      </x:c>
      <x:c r="AN12" s="2" t="str">
        <x:v>experiments/execution_183/batch_dataset.csv</x:v>
      </x:c>
    </x:row>
    <x:row r="13" ht="24" customHeight="1">
      <x:c r="A13" s="2" t="str">
        <x:v>success</x:v>
      </x:c>
      <x:c r="B13" s="2" t="n">
        <x:v>3</x:v>
      </x:c>
      <x:c r="C13" s="2" t="str">
        <x:v>scheduler_TdmaMR_run_2</x:v>
      </x:c>
      <x:c r="D13" s="2" t="n">
        <x:v>184</x:v>
      </x:c>
      <x:c r="E13" s="2" t="str">
        <x:v>ns3</x:v>
      </x:c>
      <x:c r="F13" s="2" t="str">
        <x:v>experiments/execution_184/experiment_3/config.json</x:v>
      </x:c>
      <x:c r="G13" s="2" t="str">
        <x:v>experiments/execution_184/experiment_3/results.json</x:v>
      </x:c>
      <x:c r="H13" s="2" t="str">
        <x:v>/home/dinos/ns-allinone-3.47/ns-3.47/experiments/execution_184/experiment_3</x:v>
      </x:c>
      <x:c r="I13" s="2" t="str">
        <x:v>TdmaMR</x:v>
      </x:c>
      <x:c r="J13" s="3" t="b">
        <x:v>1</x:v>
      </x:c>
      <x:c r="K13" s="2" t="n">
        <x:v>3</x:v>
      </x:c>
      <x:c r="L13" s="2" t="n">
        <x:v>16</x:v>
      </x:c>
      <x:c r="M13" s="2" t="str">
        <x:v>Cosine</x:v>
      </x:c>
      <x:c r="N13" s="2" t="n">
        <x:v>0</x:v>
      </x:c>
      <x:c r="O13" s="2" t="n">
        <x:v>0</x:v>
      </x:c>
      <x:c r="P13" s="2" t="n">
        <x:v>120</x:v>
      </x:c>
      <x:c r="Q13" s="2" t="n">
        <x:v>360</x:v>
      </x:c>
      <x:c r="R13" s="2" t="n">
        <x:v>0</x:v>
      </x:c>
      <x:c r="S13" s="2" t="n">
        <x:v>3500000000</x:v>
      </x:c>
      <x:c r="T13" s="2" t="n">
        <x:v>100</x:v>
      </x:c>
      <x:c r="U13" s="2" t="n">
        <x:v>100.3605998</x:v>
      </x:c>
      <x:c r="V13" s="2" t="n">
        <x:v>10</x:v>
      </x:c>
      <x:c r="W13" s="2" t="n">
        <x:v>200</x:v>
      </x:c>
      <x:c r="X13" s="2" t="n">
        <x:v>100000000</x:v>
      </x:c>
      <x:c r="Y13" s="2" t="n">
        <x:v>2</x:v>
      </x:c>
      <x:c r="Z13" s="2" t="str">
        <x:v>DL|UL|UL|UL|</x:v>
      </x:c>
      <x:c r="AA13" s="2" t="n">
        <x:v>1400</x:v>
      </x:c>
      <x:c r="AB13" s="2" t="n">
        <x:v>1048576</x:v>
      </x:c>
      <x:c r="AC13" s="2" t="n">
        <x:v>42</x:v>
      </x:c>
      <x:c r="AD13" s="2" t="n">
        <x:v>2</x:v>
      </x:c>
      <x:c r="AE13" s="7" t="n">
        <x:v>203.9995104</x:v>
      </x:c>
      <x:c r="AF13" s="7" t="n">
        <x:v>199.99952</x:v>
      </x:c>
      <x:c r="AG13" s="7" t="n">
        <x:v>3.640713971</x:v>
      </x:c>
      <x:c r="AH13" s="7" t="n">
        <x:v>0.09902817</x:v>
      </x:c>
      <x:c r="AI13" s="7" t="n">
        <x:v>0</x:v>
      </x:c>
      <x:c r="AJ13" s="2" t="n">
        <x:v>178571</x:v>
      </x:c>
      <x:c r="AK13" s="2" t="n">
        <x:v>178571</x:v>
      </x:c>
      <x:c r="AL13" s="2" t="n">
        <x:v>254999388</x:v>
      </x:c>
      <x:c r="AM13" s="2" t="n">
        <x:v>0</x:v>
      </x:c>
      <x:c r="AN13" s="2" t="str">
        <x:v>experiments/execution_184/batch_dataset.csv</x:v>
      </x:c>
    </x:row>
    <x:row r="14" ht="24" customHeight="1">
      <x:c r="A14" s="2" t="str">
        <x:v>success</x:v>
      </x:c>
      <x:c r="B14" s="2" t="n">
        <x:v>3</x:v>
      </x:c>
      <x:c r="C14" s="2" t="str">
        <x:v>scheduler_TdmaMR_run_3</x:v>
      </x:c>
      <x:c r="D14" s="2" t="n">
        <x:v>185</x:v>
      </x:c>
      <x:c r="E14" s="2" t="str">
        <x:v>ns3</x:v>
      </x:c>
      <x:c r="F14" s="2" t="str">
        <x:v>experiments/execution_185/experiment_3/config.json</x:v>
      </x:c>
      <x:c r="G14" s="2" t="str">
        <x:v>experiments/execution_185/experiment_3/results.json</x:v>
      </x:c>
      <x:c r="H14" s="2" t="str">
        <x:v>/home/dinos/ns-allinone-3.47/ns-3.47/experiments/execution_185/experiment_3</x:v>
      </x:c>
      <x:c r="I14" s="2" t="str">
        <x:v>TdmaMR</x:v>
      </x:c>
      <x:c r="J14" s="3" t="b">
        <x:v>1</x:v>
      </x:c>
      <x:c r="K14" s="2" t="n">
        <x:v>3</x:v>
      </x:c>
      <x:c r="L14" s="2" t="n">
        <x:v>16</x:v>
      </x:c>
      <x:c r="M14" s="2" t="str">
        <x:v>Cosine</x:v>
      </x:c>
      <x:c r="N14" s="2" t="n">
        <x:v>0</x:v>
      </x:c>
      <x:c r="O14" s="2" t="n">
        <x:v>0</x:v>
      </x:c>
      <x:c r="P14" s="2" t="n">
        <x:v>120</x:v>
      </x:c>
      <x:c r="Q14" s="2" t="n">
        <x:v>360</x:v>
      </x:c>
      <x:c r="R14" s="2" t="n">
        <x:v>0</x:v>
      </x:c>
      <x:c r="S14" s="2" t="n">
        <x:v>3500000000</x:v>
      </x:c>
      <x:c r="T14" s="2" t="n">
        <x:v>100</x:v>
      </x:c>
      <x:c r="U14" s="2" t="n">
        <x:v>100.3605998</x:v>
      </x:c>
      <x:c r="V14" s="2" t="n">
        <x:v>10</x:v>
      </x:c>
      <x:c r="W14" s="2" t="n">
        <x:v>200</x:v>
      </x:c>
      <x:c r="X14" s="2" t="n">
        <x:v>100000000</x:v>
      </x:c>
      <x:c r="Y14" s="2" t="n">
        <x:v>2</x:v>
      </x:c>
      <x:c r="Z14" s="2" t="str">
        <x:v>DL|UL|UL|UL|</x:v>
      </x:c>
      <x:c r="AA14" s="2" t="n">
        <x:v>1400</x:v>
      </x:c>
      <x:c r="AB14" s="2" t="n">
        <x:v>1048576</x:v>
      </x:c>
      <x:c r="AC14" s="2" t="n">
        <x:v>42</x:v>
      </x:c>
      <x:c r="AD14" s="2" t="n">
        <x:v>3</x:v>
      </x:c>
      <x:c r="AE14" s="7" t="n">
        <x:v>203.9995104</x:v>
      </x:c>
      <x:c r="AF14" s="7" t="n">
        <x:v>199.99952</x:v>
      </x:c>
      <x:c r="AG14" s="7" t="n">
        <x:v>3.641268985</x:v>
      </x:c>
      <x:c r="AH14" s="7" t="n">
        <x:v>0.099039645</x:v>
      </x:c>
      <x:c r="AI14" s="7" t="n">
        <x:v>0</x:v>
      </x:c>
      <x:c r="AJ14" s="2" t="n">
        <x:v>178571</x:v>
      </x:c>
      <x:c r="AK14" s="2" t="n">
        <x:v>178571</x:v>
      </x:c>
      <x:c r="AL14" s="2" t="n">
        <x:v>254999388</x:v>
      </x:c>
      <x:c r="AM14" s="2" t="n">
        <x:v>0</x:v>
      </x:c>
      <x:c r="AN14" s="2" t="str">
        <x:v>experiments/execution_185/batch_dataset.csv</x:v>
      </x:c>
    </x:row>
    <x:row r="15" ht="24" customHeight="1">
      <x:c r="A15" s="2" t="str">
        <x:v>success</x:v>
      </x:c>
      <x:c r="B15" s="2" t="n">
        <x:v>3</x:v>
      </x:c>
      <x:c r="C15" s="2" t="str">
        <x:v>scheduler_TdmaMR_run_4</x:v>
      </x:c>
      <x:c r="D15" s="2" t="n">
        <x:v>186</x:v>
      </x:c>
      <x:c r="E15" s="2" t="str">
        <x:v>ns3</x:v>
      </x:c>
      <x:c r="F15" s="2" t="str">
        <x:v>experiments/execution_186/experiment_3/config.json</x:v>
      </x:c>
      <x:c r="G15" s="2" t="str">
        <x:v>experiments/execution_186/experiment_3/results.json</x:v>
      </x:c>
      <x:c r="H15" s="2" t="str">
        <x:v>/home/dinos/ns-allinone-3.47/ns-3.47/experiments/execution_186/experiment_3</x:v>
      </x:c>
      <x:c r="I15" s="2" t="str">
        <x:v>TdmaMR</x:v>
      </x:c>
      <x:c r="J15" s="3" t="b">
        <x:v>1</x:v>
      </x:c>
      <x:c r="K15" s="2" t="n">
        <x:v>3</x:v>
      </x:c>
      <x:c r="L15" s="2" t="n">
        <x:v>16</x:v>
      </x:c>
      <x:c r="M15" s="2" t="str">
        <x:v>Cosine</x:v>
      </x:c>
      <x:c r="N15" s="2" t="n">
        <x:v>0</x:v>
      </x:c>
      <x:c r="O15" s="2" t="n">
        <x:v>0</x:v>
      </x:c>
      <x:c r="P15" s="2" t="n">
        <x:v>120</x:v>
      </x:c>
      <x:c r="Q15" s="2" t="n">
        <x:v>360</x:v>
      </x:c>
      <x:c r="R15" s="2" t="n">
        <x:v>0</x:v>
      </x:c>
      <x:c r="S15" s="2" t="n">
        <x:v>3500000000</x:v>
      </x:c>
      <x:c r="T15" s="2" t="n">
        <x:v>100</x:v>
      </x:c>
      <x:c r="U15" s="2" t="n">
        <x:v>100.3605998</x:v>
      </x:c>
      <x:c r="V15" s="2" t="n">
        <x:v>10</x:v>
      </x:c>
      <x:c r="W15" s="2" t="n">
        <x:v>200</x:v>
      </x:c>
      <x:c r="X15" s="2" t="n">
        <x:v>100000000</x:v>
      </x:c>
      <x:c r="Y15" s="2" t="n">
        <x:v>2</x:v>
      </x:c>
      <x:c r="Z15" s="2" t="str">
        <x:v>DL|UL|UL|UL|</x:v>
      </x:c>
      <x:c r="AA15" s="2" t="n">
        <x:v>1400</x:v>
      </x:c>
      <x:c r="AB15" s="2" t="n">
        <x:v>1048576</x:v>
      </x:c>
      <x:c r="AC15" s="2" t="n">
        <x:v>42</x:v>
      </x:c>
      <x:c r="AD15" s="2" t="n">
        <x:v>4</x:v>
      </x:c>
      <x:c r="AE15" s="7" t="n">
        <x:v>203.9995104</x:v>
      </x:c>
      <x:c r="AF15" s="7" t="n">
        <x:v>199.99952</x:v>
      </x:c>
      <x:c r="AG15" s="7" t="n">
        <x:v>3.634271764</x:v>
      </x:c>
      <x:c r="AH15" s="7" t="n">
        <x:v>0.098989163</x:v>
      </x:c>
      <x:c r="AI15" s="7" t="n">
        <x:v>0</x:v>
      </x:c>
      <x:c r="AJ15" s="2" t="n">
        <x:v>178571</x:v>
      </x:c>
      <x:c r="AK15" s="2" t="n">
        <x:v>178571</x:v>
      </x:c>
      <x:c r="AL15" s="2" t="n">
        <x:v>254999388</x:v>
      </x:c>
      <x:c r="AM15" s="2" t="n">
        <x:v>0</x:v>
      </x:c>
      <x:c r="AN15" s="2" t="str">
        <x:v>experiments/execution_186/batch_dataset.csv</x:v>
      </x:c>
    </x:row>
    <x:row r="16" ht="24" customHeight="1">
      <x:c r="A16" s="2" t="str">
        <x:v>success</x:v>
      </x:c>
      <x:c r="B16" s="2" t="n">
        <x:v>3</x:v>
      </x:c>
      <x:c r="C16" s="2" t="str">
        <x:v>scheduler_TdmaMR_run_5</x:v>
      </x:c>
      <x:c r="D16" s="2" t="n">
        <x:v>187</x:v>
      </x:c>
      <x:c r="E16" s="2" t="str">
        <x:v>ns3</x:v>
      </x:c>
      <x:c r="F16" s="2" t="str">
        <x:v>experiments/execution_187/experiment_3/config.json</x:v>
      </x:c>
      <x:c r="G16" s="2" t="str">
        <x:v>experiments/execution_187/experiment_3/results.json</x:v>
      </x:c>
      <x:c r="H16" s="2" t="str">
        <x:v>/home/dinos/ns-allinone-3.47/ns-3.47/experiments/execution_187/experiment_3</x:v>
      </x:c>
      <x:c r="I16" s="2" t="str">
        <x:v>TdmaMR</x:v>
      </x:c>
      <x:c r="J16" s="3" t="b">
        <x:v>1</x:v>
      </x:c>
      <x:c r="K16" s="2" t="n">
        <x:v>3</x:v>
      </x:c>
      <x:c r="L16" s="2" t="n">
        <x:v>16</x:v>
      </x:c>
      <x:c r="M16" s="2" t="str">
        <x:v>Cosine</x:v>
      </x:c>
      <x:c r="N16" s="2" t="n">
        <x:v>0</x:v>
      </x:c>
      <x:c r="O16" s="2" t="n">
        <x:v>0</x:v>
      </x:c>
      <x:c r="P16" s="2" t="n">
        <x:v>120</x:v>
      </x:c>
      <x:c r="Q16" s="2" t="n">
        <x:v>360</x:v>
      </x:c>
      <x:c r="R16" s="2" t="n">
        <x:v>0</x:v>
      </x:c>
      <x:c r="S16" s="2" t="n">
        <x:v>3500000000</x:v>
      </x:c>
      <x:c r="T16" s="2" t="n">
        <x:v>100</x:v>
      </x:c>
      <x:c r="U16" s="2" t="n">
        <x:v>100.3605998</x:v>
      </x:c>
      <x:c r="V16" s="2" t="n">
        <x:v>10</x:v>
      </x:c>
      <x:c r="W16" s="2" t="n">
        <x:v>200</x:v>
      </x:c>
      <x:c r="X16" s="2" t="n">
        <x:v>100000000</x:v>
      </x:c>
      <x:c r="Y16" s="2" t="n">
        <x:v>2</x:v>
      </x:c>
      <x:c r="Z16" s="2" t="str">
        <x:v>DL|UL|UL|UL|</x:v>
      </x:c>
      <x:c r="AA16" s="2" t="n">
        <x:v>1400</x:v>
      </x:c>
      <x:c r="AB16" s="2" t="n">
        <x:v>1048576</x:v>
      </x:c>
      <x:c r="AC16" s="2" t="n">
        <x:v>42</x:v>
      </x:c>
      <x:c r="AD16" s="2" t="n">
        <x:v>5</x:v>
      </x:c>
      <x:c r="AE16" s="7" t="n">
        <x:v>203.9995104</x:v>
      </x:c>
      <x:c r="AF16" s="7" t="n">
        <x:v>199.99952</x:v>
      </x:c>
      <x:c r="AG16" s="7" t="n">
        <x:v>3.648874213</x:v>
      </x:c>
      <x:c r="AH16" s="7" t="n">
        <x:v>0.099055625</x:v>
      </x:c>
      <x:c r="AI16" s="7" t="n">
        <x:v>0</x:v>
      </x:c>
      <x:c r="AJ16" s="2" t="n">
        <x:v>178571</x:v>
      </x:c>
      <x:c r="AK16" s="2" t="n">
        <x:v>178571</x:v>
      </x:c>
      <x:c r="AL16" s="2" t="n">
        <x:v>254999388</x:v>
      </x:c>
      <x:c r="AM16" s="2" t="n">
        <x:v>0</x:v>
      </x:c>
      <x:c r="AN16" s="2" t="str">
        <x:v>experiments/execution_187/batch_dataset.csv</x:v>
      </x:c>
    </x:row>
    <x:row r="17" ht="24" customHeight="1">
      <x:c r="A17" s="2" t="str">
        <x:v>success</x:v>
      </x:c>
      <x:c r="B17" s="2" t="n">
        <x:v>4</x:v>
      </x:c>
      <x:c r="C17" s="2" t="str">
        <x:v>scheduler_TdmaQos_run_1</x:v>
      </x:c>
      <x:c r="D17" s="2" t="n">
        <x:v>183</x:v>
      </x:c>
      <x:c r="E17" s="2" t="str">
        <x:v>ns3</x:v>
      </x:c>
      <x:c r="F17" s="2" t="str">
        <x:v>experiments/execution_183/experiment_4/config.json</x:v>
      </x:c>
      <x:c r="G17" s="2" t="str">
        <x:v>experiments/execution_183/experiment_4/results.json</x:v>
      </x:c>
      <x:c r="H17" s="2" t="str">
        <x:v>/home/dinos/ns-allinone-3.47/ns-3.47/experiments/execution_183/experiment_4</x:v>
      </x:c>
      <x:c r="I17" s="2" t="str">
        <x:v>TdmaQos</x:v>
      </x:c>
      <x:c r="J17" s="3" t="b">
        <x:v>1</x:v>
      </x:c>
      <x:c r="K17" s="2" t="n">
        <x:v>3</x:v>
      </x:c>
      <x:c r="L17" s="2" t="n">
        <x:v>16</x:v>
      </x:c>
      <x:c r="M17" s="2" t="str">
        <x:v>Cosine</x:v>
      </x:c>
      <x:c r="N17" s="2" t="n">
        <x:v>0</x:v>
      </x:c>
      <x:c r="O17" s="2" t="n">
        <x:v>0</x:v>
      </x:c>
      <x:c r="P17" s="2" t="n">
        <x:v>120</x:v>
      </x:c>
      <x:c r="Q17" s="2" t="n">
        <x:v>360</x:v>
      </x:c>
      <x:c r="R17" s="2" t="n">
        <x:v>0</x:v>
      </x:c>
      <x:c r="S17" s="2" t="n">
        <x:v>3500000000</x:v>
      </x:c>
      <x:c r="T17" s="2" t="n">
        <x:v>100</x:v>
      </x:c>
      <x:c r="U17" s="2" t="n">
        <x:v>100.3605998</x:v>
      </x:c>
      <x:c r="V17" s="2" t="n">
        <x:v>10</x:v>
      </x:c>
      <x:c r="W17" s="2" t="n">
        <x:v>200</x:v>
      </x:c>
      <x:c r="X17" s="2" t="n">
        <x:v>100000000</x:v>
      </x:c>
      <x:c r="Y17" s="2" t="n">
        <x:v>2</x:v>
      </x:c>
      <x:c r="Z17" s="2" t="str">
        <x:v>DL|UL|UL|UL|</x:v>
      </x:c>
      <x:c r="AA17" s="2" t="n">
        <x:v>1400</x:v>
      </x:c>
      <x:c r="AB17" s="2" t="n">
        <x:v>1048576</x:v>
      </x:c>
      <x:c r="AC17" s="2" t="n">
        <x:v>42</x:v>
      </x:c>
      <x:c r="AD17" s="2" t="n">
        <x:v>1</x:v>
      </x:c>
      <x:c r="AE17" s="7" t="n">
        <x:v>203.9995104</x:v>
      </x:c>
      <x:c r="AF17" s="7" t="n">
        <x:v>199.99952</x:v>
      </x:c>
      <x:c r="AG17" s="7" t="n">
        <x:v>3.634694482</x:v>
      </x:c>
      <x:c r="AH17" s="7" t="n">
        <x:v>0.098994663</x:v>
      </x:c>
      <x:c r="AI17" s="7" t="n">
        <x:v>0</x:v>
      </x:c>
      <x:c r="AJ17" s="2" t="n">
        <x:v>178571</x:v>
      </x:c>
      <x:c r="AK17" s="2" t="n">
        <x:v>178571</x:v>
      </x:c>
      <x:c r="AL17" s="2" t="n">
        <x:v>254999388</x:v>
      </x:c>
      <x:c r="AM17" s="2" t="n">
        <x:v>0</x:v>
      </x:c>
      <x:c r="AN17" s="2" t="str">
        <x:v>experiments/execution_183/batch_dataset.csv</x:v>
      </x:c>
    </x:row>
    <x:row r="18" ht="24" customHeight="1">
      <x:c r="A18" s="2" t="str">
        <x:v>success</x:v>
      </x:c>
      <x:c r="B18" s="2" t="n">
        <x:v>4</x:v>
      </x:c>
      <x:c r="C18" s="2" t="str">
        <x:v>scheduler_TdmaQos_run_2</x:v>
      </x:c>
      <x:c r="D18" s="2" t="n">
        <x:v>184</x:v>
      </x:c>
      <x:c r="E18" s="2" t="str">
        <x:v>ns3</x:v>
      </x:c>
      <x:c r="F18" s="2" t="str">
        <x:v>experiments/execution_184/experiment_4/config.json</x:v>
      </x:c>
      <x:c r="G18" s="2" t="str">
        <x:v>experiments/execution_184/experiment_4/results.json</x:v>
      </x:c>
      <x:c r="H18" s="2" t="str">
        <x:v>/home/dinos/ns-allinone-3.47/ns-3.47/experiments/execution_184/experiment_4</x:v>
      </x:c>
      <x:c r="I18" s="2" t="str">
        <x:v>TdmaQos</x:v>
      </x:c>
      <x:c r="J18" s="3" t="b">
        <x:v>1</x:v>
      </x:c>
      <x:c r="K18" s="2" t="n">
        <x:v>3</x:v>
      </x:c>
      <x:c r="L18" s="2" t="n">
        <x:v>16</x:v>
      </x:c>
      <x:c r="M18" s="2" t="str">
        <x:v>Cosine</x:v>
      </x:c>
      <x:c r="N18" s="2" t="n">
        <x:v>0</x:v>
      </x:c>
      <x:c r="O18" s="2" t="n">
        <x:v>0</x:v>
      </x:c>
      <x:c r="P18" s="2" t="n">
        <x:v>120</x:v>
      </x:c>
      <x:c r="Q18" s="2" t="n">
        <x:v>360</x:v>
      </x:c>
      <x:c r="R18" s="2" t="n">
        <x:v>0</x:v>
      </x:c>
      <x:c r="S18" s="2" t="n">
        <x:v>3500000000</x:v>
      </x:c>
      <x:c r="T18" s="2" t="n">
        <x:v>100</x:v>
      </x:c>
      <x:c r="U18" s="2" t="n">
        <x:v>100.3605998</x:v>
      </x:c>
      <x:c r="V18" s="2" t="n">
        <x:v>10</x:v>
      </x:c>
      <x:c r="W18" s="2" t="n">
        <x:v>200</x:v>
      </x:c>
      <x:c r="X18" s="2" t="n">
        <x:v>100000000</x:v>
      </x:c>
      <x:c r="Y18" s="2" t="n">
        <x:v>2</x:v>
      </x:c>
      <x:c r="Z18" s="2" t="str">
        <x:v>DL|UL|UL|UL|</x:v>
      </x:c>
      <x:c r="AA18" s="2" t="n">
        <x:v>1400</x:v>
      </x:c>
      <x:c r="AB18" s="2" t="n">
        <x:v>1048576</x:v>
      </x:c>
      <x:c r="AC18" s="2" t="n">
        <x:v>42</x:v>
      </x:c>
      <x:c r="AD18" s="2" t="n">
        <x:v>2</x:v>
      </x:c>
      <x:c r="AE18" s="7" t="n">
        <x:v>203.9995104</x:v>
      </x:c>
      <x:c r="AF18" s="7" t="n">
        <x:v>199.99952</x:v>
      </x:c>
      <x:c r="AG18" s="7" t="n">
        <x:v>3.641092134</x:v>
      </x:c>
      <x:c r="AH18" s="7" t="n">
        <x:v>0.098983722</x:v>
      </x:c>
      <x:c r="AI18" s="7" t="n">
        <x:v>0</x:v>
      </x:c>
      <x:c r="AJ18" s="2" t="n">
        <x:v>178571</x:v>
      </x:c>
      <x:c r="AK18" s="2" t="n">
        <x:v>178571</x:v>
      </x:c>
      <x:c r="AL18" s="2" t="n">
        <x:v>254999388</x:v>
      </x:c>
      <x:c r="AM18" s="2" t="n">
        <x:v>0</x:v>
      </x:c>
      <x:c r="AN18" s="2" t="str">
        <x:v>experiments/execution_184/batch_dataset.csv</x:v>
      </x:c>
    </x:row>
    <x:row r="19" ht="24" customHeight="1">
      <x:c r="A19" s="2" t="str">
        <x:v>success</x:v>
      </x:c>
      <x:c r="B19" s="2" t="n">
        <x:v>4</x:v>
      </x:c>
      <x:c r="C19" s="2" t="str">
        <x:v>scheduler_TdmaQos_run_3</x:v>
      </x:c>
      <x:c r="D19" s="2" t="n">
        <x:v>185</x:v>
      </x:c>
      <x:c r="E19" s="2" t="str">
        <x:v>ns3</x:v>
      </x:c>
      <x:c r="F19" s="2" t="str">
        <x:v>experiments/execution_185/experiment_4/config.json</x:v>
      </x:c>
      <x:c r="G19" s="2" t="str">
        <x:v>experiments/execution_185/experiment_4/results.json</x:v>
      </x:c>
      <x:c r="H19" s="2" t="str">
        <x:v>/home/dinos/ns-allinone-3.47/ns-3.47/experiments/execution_185/experiment_4</x:v>
      </x:c>
      <x:c r="I19" s="2" t="str">
        <x:v>TdmaQos</x:v>
      </x:c>
      <x:c r="J19" s="3" t="b">
        <x:v>1</x:v>
      </x:c>
      <x:c r="K19" s="2" t="n">
        <x:v>3</x:v>
      </x:c>
      <x:c r="L19" s="2" t="n">
        <x:v>16</x:v>
      </x:c>
      <x:c r="M19" s="2" t="str">
        <x:v>Cosine</x:v>
      </x:c>
      <x:c r="N19" s="2" t="n">
        <x:v>0</x:v>
      </x:c>
      <x:c r="O19" s="2" t="n">
        <x:v>0</x:v>
      </x:c>
      <x:c r="P19" s="2" t="n">
        <x:v>120</x:v>
      </x:c>
      <x:c r="Q19" s="2" t="n">
        <x:v>360</x:v>
      </x:c>
      <x:c r="R19" s="2" t="n">
        <x:v>0</x:v>
      </x:c>
      <x:c r="S19" s="2" t="n">
        <x:v>3500000000</x:v>
      </x:c>
      <x:c r="T19" s="2" t="n">
        <x:v>100</x:v>
      </x:c>
      <x:c r="U19" s="2" t="n">
        <x:v>100.3605998</x:v>
      </x:c>
      <x:c r="V19" s="2" t="n">
        <x:v>10</x:v>
      </x:c>
      <x:c r="W19" s="2" t="n">
        <x:v>200</x:v>
      </x:c>
      <x:c r="X19" s="2" t="n">
        <x:v>100000000</x:v>
      </x:c>
      <x:c r="Y19" s="2" t="n">
        <x:v>2</x:v>
      </x:c>
      <x:c r="Z19" s="2" t="str">
        <x:v>DL|UL|UL|UL|</x:v>
      </x:c>
      <x:c r="AA19" s="2" t="n">
        <x:v>1400</x:v>
      </x:c>
      <x:c r="AB19" s="2" t="n">
        <x:v>1048576</x:v>
      </x:c>
      <x:c r="AC19" s="2" t="n">
        <x:v>42</x:v>
      </x:c>
      <x:c r="AD19" s="2" t="n">
        <x:v>3</x:v>
      </x:c>
      <x:c r="AE19" s="7" t="n">
        <x:v>203.9995104</x:v>
      </x:c>
      <x:c r="AF19" s="7" t="n">
        <x:v>199.99952</x:v>
      </x:c>
      <x:c r="AG19" s="7" t="n">
        <x:v>3.647661586</x:v>
      </x:c>
      <x:c r="AH19" s="7" t="n">
        <x:v>0.099029213</x:v>
      </x:c>
      <x:c r="AI19" s="7" t="n">
        <x:v>0</x:v>
      </x:c>
      <x:c r="AJ19" s="2" t="n">
        <x:v>178571</x:v>
      </x:c>
      <x:c r="AK19" s="2" t="n">
        <x:v>178571</x:v>
      </x:c>
      <x:c r="AL19" s="2" t="n">
        <x:v>254999388</x:v>
      </x:c>
      <x:c r="AM19" s="2" t="n">
        <x:v>0</x:v>
      </x:c>
      <x:c r="AN19" s="2" t="str">
        <x:v>experiments/execution_185/batch_dataset.csv</x:v>
      </x:c>
    </x:row>
    <x:row r="20" ht="24" customHeight="1">
      <x:c r="A20" s="2" t="str">
        <x:v>success</x:v>
      </x:c>
      <x:c r="B20" s="2" t="n">
        <x:v>4</x:v>
      </x:c>
      <x:c r="C20" s="2" t="str">
        <x:v>scheduler_TdmaQos_run_4</x:v>
      </x:c>
      <x:c r="D20" s="2" t="n">
        <x:v>186</x:v>
      </x:c>
      <x:c r="E20" s="2" t="str">
        <x:v>ns3</x:v>
      </x:c>
      <x:c r="F20" s="2" t="str">
        <x:v>experiments/execution_186/experiment_4/config.json</x:v>
      </x:c>
      <x:c r="G20" s="2" t="str">
        <x:v>experiments/execution_186/experiment_4/results.json</x:v>
      </x:c>
      <x:c r="H20" s="2" t="str">
        <x:v>/home/dinos/ns-allinone-3.47/ns-3.47/experiments/execution_186/experiment_4</x:v>
      </x:c>
      <x:c r="I20" s="2" t="str">
        <x:v>TdmaQos</x:v>
      </x:c>
      <x:c r="J20" s="3" t="b">
        <x:v>1</x:v>
      </x:c>
      <x:c r="K20" s="2" t="n">
        <x:v>3</x:v>
      </x:c>
      <x:c r="L20" s="2" t="n">
        <x:v>16</x:v>
      </x:c>
      <x:c r="M20" s="2" t="str">
        <x:v>Cosine</x:v>
      </x:c>
      <x:c r="N20" s="2" t="n">
        <x:v>0</x:v>
      </x:c>
      <x:c r="O20" s="2" t="n">
        <x:v>0</x:v>
      </x:c>
      <x:c r="P20" s="2" t="n">
        <x:v>120</x:v>
      </x:c>
      <x:c r="Q20" s="2" t="n">
        <x:v>360</x:v>
      </x:c>
      <x:c r="R20" s="2" t="n">
        <x:v>0</x:v>
      </x:c>
      <x:c r="S20" s="2" t="n">
        <x:v>3500000000</x:v>
      </x:c>
      <x:c r="T20" s="2" t="n">
        <x:v>100</x:v>
      </x:c>
      <x:c r="U20" s="2" t="n">
        <x:v>100.3605998</x:v>
      </x:c>
      <x:c r="V20" s="2" t="n">
        <x:v>10</x:v>
      </x:c>
      <x:c r="W20" s="2" t="n">
        <x:v>200</x:v>
      </x:c>
      <x:c r="X20" s="2" t="n">
        <x:v>100000000</x:v>
      </x:c>
      <x:c r="Y20" s="2" t="n">
        <x:v>2</x:v>
      </x:c>
      <x:c r="Z20" s="2" t="str">
        <x:v>DL|UL|UL|UL|</x:v>
      </x:c>
      <x:c r="AA20" s="2" t="n">
        <x:v>1400</x:v>
      </x:c>
      <x:c r="AB20" s="2" t="n">
        <x:v>1048576</x:v>
      </x:c>
      <x:c r="AC20" s="2" t="n">
        <x:v>42</x:v>
      </x:c>
      <x:c r="AD20" s="2" t="n">
        <x:v>4</x:v>
      </x:c>
      <x:c r="AE20" s="7" t="n">
        <x:v>203.9995104</x:v>
      </x:c>
      <x:c r="AF20" s="7" t="n">
        <x:v>199.99952</x:v>
      </x:c>
      <x:c r="AG20" s="7" t="n">
        <x:v>3.642952626</x:v>
      </x:c>
      <x:c r="AH20" s="7" t="n">
        <x:v>0.099094229</x:v>
      </x:c>
      <x:c r="AI20" s="7" t="n">
        <x:v>0</x:v>
      </x:c>
      <x:c r="AJ20" s="2" t="n">
        <x:v>178571</x:v>
      </x:c>
      <x:c r="AK20" s="2" t="n">
        <x:v>178571</x:v>
      </x:c>
      <x:c r="AL20" s="2" t="n">
        <x:v>254999388</x:v>
      </x:c>
      <x:c r="AM20" s="2" t="n">
        <x:v>0</x:v>
      </x:c>
      <x:c r="AN20" s="2" t="str">
        <x:v>experiments/execution_186/batch_dataset.csv</x:v>
      </x:c>
    </x:row>
    <x:row r="21" ht="24" customHeight="1">
      <x:c r="A21" s="2" t="str">
        <x:v>success</x:v>
      </x:c>
      <x:c r="B21" s="2" t="n">
        <x:v>4</x:v>
      </x:c>
      <x:c r="C21" s="2" t="str">
        <x:v>scheduler_TdmaQos_run_5</x:v>
      </x:c>
      <x:c r="D21" s="2" t="n">
        <x:v>187</x:v>
      </x:c>
      <x:c r="E21" s="2" t="str">
        <x:v>ns3</x:v>
      </x:c>
      <x:c r="F21" s="2" t="str">
        <x:v>experiments/execution_187/experiment_4/config.json</x:v>
      </x:c>
      <x:c r="G21" s="2" t="str">
        <x:v>experiments/execution_187/experiment_4/results.json</x:v>
      </x:c>
      <x:c r="H21" s="2" t="str">
        <x:v>/home/dinos/ns-allinone-3.47/ns-3.47/experiments/execution_187/experiment_4</x:v>
      </x:c>
      <x:c r="I21" s="2" t="str">
        <x:v>TdmaQos</x:v>
      </x:c>
      <x:c r="J21" s="3" t="b">
        <x:v>1</x:v>
      </x:c>
      <x:c r="K21" s="2" t="n">
        <x:v>3</x:v>
      </x:c>
      <x:c r="L21" s="2" t="n">
        <x:v>16</x:v>
      </x:c>
      <x:c r="M21" s="2" t="str">
        <x:v>Cosine</x:v>
      </x:c>
      <x:c r="N21" s="2" t="n">
        <x:v>0</x:v>
      </x:c>
      <x:c r="O21" s="2" t="n">
        <x:v>0</x:v>
      </x:c>
      <x:c r="P21" s="2" t="n">
        <x:v>120</x:v>
      </x:c>
      <x:c r="Q21" s="2" t="n">
        <x:v>360</x:v>
      </x:c>
      <x:c r="R21" s="2" t="n">
        <x:v>0</x:v>
      </x:c>
      <x:c r="S21" s="2" t="n">
        <x:v>3500000000</x:v>
      </x:c>
      <x:c r="T21" s="2" t="n">
        <x:v>100</x:v>
      </x:c>
      <x:c r="U21" s="2" t="n">
        <x:v>100.3605998</x:v>
      </x:c>
      <x:c r="V21" s="2" t="n">
        <x:v>10</x:v>
      </x:c>
      <x:c r="W21" s="2" t="n">
        <x:v>200</x:v>
      </x:c>
      <x:c r="X21" s="2" t="n">
        <x:v>100000000</x:v>
      </x:c>
      <x:c r="Y21" s="2" t="n">
        <x:v>2</x:v>
      </x:c>
      <x:c r="Z21" s="2" t="str">
        <x:v>DL|UL|UL|UL|</x:v>
      </x:c>
      <x:c r="AA21" s="2" t="n">
        <x:v>1400</x:v>
      </x:c>
      <x:c r="AB21" s="2" t="n">
        <x:v>1048576</x:v>
      </x:c>
      <x:c r="AC21" s="2" t="n">
        <x:v>42</x:v>
      </x:c>
      <x:c r="AD21" s="2" t="n">
        <x:v>5</x:v>
      </x:c>
      <x:c r="AE21" s="7" t="n">
        <x:v>203.9995104</x:v>
      </x:c>
      <x:c r="AF21" s="7" t="n">
        <x:v>199.99952</x:v>
      </x:c>
      <x:c r="AG21" s="7" t="n">
        <x:v>3.64970742</x:v>
      </x:c>
      <x:c r="AH21" s="7" t="n">
        <x:v>0.099070349</x:v>
      </x:c>
      <x:c r="AI21" s="7" t="n">
        <x:v>0</x:v>
      </x:c>
      <x:c r="AJ21" s="2" t="n">
        <x:v>178571</x:v>
      </x:c>
      <x:c r="AK21" s="2" t="n">
        <x:v>178571</x:v>
      </x:c>
      <x:c r="AL21" s="2" t="n">
        <x:v>254999388</x:v>
      </x:c>
      <x:c r="AM21" s="2" t="n">
        <x:v>0</x:v>
      </x:c>
      <x:c r="AN21" s="2" t="str">
        <x:v>experiments/execution_187/batch_dataset.csv</x:v>
      </x:c>
    </x:row>
    <x:row r="22" ht="24" customHeight="1">
      <x:c r="A22" s="2" t="str">
        <x:v>success</x:v>
      </x:c>
      <x:c r="B22" s="2" t="n">
        <x:v>5</x:v>
      </x:c>
      <x:c r="C22" s="2" t="str">
        <x:v>scheduler_TdmaRandom_run_1</x:v>
      </x:c>
      <x:c r="D22" s="2" t="n">
        <x:v>183</x:v>
      </x:c>
      <x:c r="E22" s="2" t="str">
        <x:v>ns3</x:v>
      </x:c>
      <x:c r="F22" s="2" t="str">
        <x:v>experiments/execution_183/experiment_5/config.json</x:v>
      </x:c>
      <x:c r="G22" s="2" t="str">
        <x:v>experiments/execution_183/experiment_5/results.json</x:v>
      </x:c>
      <x:c r="H22" s="2" t="str">
        <x:v>/home/dinos/ns-allinone-3.47/ns-3.47/experiments/execution_183/experiment_5</x:v>
      </x:c>
      <x:c r="I22" s="2" t="str">
        <x:v>TdmaRandom</x:v>
      </x:c>
      <x:c r="J22" s="3" t="b">
        <x:v>1</x:v>
      </x:c>
      <x:c r="K22" s="2" t="n">
        <x:v>3</x:v>
      </x:c>
      <x:c r="L22" s="2" t="n">
        <x:v>16</x:v>
      </x:c>
      <x:c r="M22" s="2" t="str">
        <x:v>Cosine</x:v>
      </x:c>
      <x:c r="N22" s="2" t="n">
        <x:v>0</x:v>
      </x:c>
      <x:c r="O22" s="2" t="n">
        <x:v>0</x:v>
      </x:c>
      <x:c r="P22" s="2" t="n">
        <x:v>120</x:v>
      </x:c>
      <x:c r="Q22" s="2" t="n">
        <x:v>360</x:v>
      </x:c>
      <x:c r="R22" s="2" t="n">
        <x:v>0</x:v>
      </x:c>
      <x:c r="S22" s="2" t="n">
        <x:v>3500000000</x:v>
      </x:c>
      <x:c r="T22" s="2" t="n">
        <x:v>100</x:v>
      </x:c>
      <x:c r="U22" s="2" t="n">
        <x:v>100.3605998</x:v>
      </x:c>
      <x:c r="V22" s="2" t="n">
        <x:v>10</x:v>
      </x:c>
      <x:c r="W22" s="2" t="n">
        <x:v>200</x:v>
      </x:c>
      <x:c r="X22" s="2" t="n">
        <x:v>100000000</x:v>
      </x:c>
      <x:c r="Y22" s="2" t="n">
        <x:v>2</x:v>
      </x:c>
      <x:c r="Z22" s="2" t="str">
        <x:v>DL|UL|UL|UL|</x:v>
      </x:c>
      <x:c r="AA22" s="2" t="n">
        <x:v>1400</x:v>
      </x:c>
      <x:c r="AB22" s="2" t="n">
        <x:v>1048576</x:v>
      </x:c>
      <x:c r="AC22" s="2" t="n">
        <x:v>42</x:v>
      </x:c>
      <x:c r="AD22" s="2" t="n">
        <x:v>1</x:v>
      </x:c>
      <x:c r="AE22" s="7" t="n">
        <x:v>203.9995104</x:v>
      </x:c>
      <x:c r="AF22" s="7" t="n">
        <x:v>199.99952</x:v>
      </x:c>
      <x:c r="AG22" s="7" t="n">
        <x:v>3.639970778</x:v>
      </x:c>
      <x:c r="AH22" s="7" t="n">
        <x:v>0.099078264</x:v>
      </x:c>
      <x:c r="AI22" s="7" t="n">
        <x:v>0</x:v>
      </x:c>
      <x:c r="AJ22" s="2" t="n">
        <x:v>178571</x:v>
      </x:c>
      <x:c r="AK22" s="2" t="n">
        <x:v>178571</x:v>
      </x:c>
      <x:c r="AL22" s="2" t="n">
        <x:v>254999388</x:v>
      </x:c>
      <x:c r="AM22" s="2" t="n">
        <x:v>0</x:v>
      </x:c>
      <x:c r="AN22" s="2" t="str">
        <x:v>experiments/execution_183/batch_dataset.csv</x:v>
      </x:c>
    </x:row>
    <x:row r="23" ht="24" customHeight="1">
      <x:c r="A23" s="2" t="str">
        <x:v>success</x:v>
      </x:c>
      <x:c r="B23" s="2" t="n">
        <x:v>5</x:v>
      </x:c>
      <x:c r="C23" s="2" t="str">
        <x:v>scheduler_TdmaRandom_run_2</x:v>
      </x:c>
      <x:c r="D23" s="2" t="n">
        <x:v>184</x:v>
      </x:c>
      <x:c r="E23" s="2" t="str">
        <x:v>ns3</x:v>
      </x:c>
      <x:c r="F23" s="2" t="str">
        <x:v>experiments/execution_184/experiment_5/config.json</x:v>
      </x:c>
      <x:c r="G23" s="2" t="str">
        <x:v>experiments/execution_184/experiment_5/results.json</x:v>
      </x:c>
      <x:c r="H23" s="2" t="str">
        <x:v>/home/dinos/ns-allinone-3.47/ns-3.47/experiments/execution_184/experiment_5</x:v>
      </x:c>
      <x:c r="I23" s="2" t="str">
        <x:v>TdmaRandom</x:v>
      </x:c>
      <x:c r="J23" s="3" t="b">
        <x:v>1</x:v>
      </x:c>
      <x:c r="K23" s="2" t="n">
        <x:v>3</x:v>
      </x:c>
      <x:c r="L23" s="2" t="n">
        <x:v>16</x:v>
      </x:c>
      <x:c r="M23" s="2" t="str">
        <x:v>Cosine</x:v>
      </x:c>
      <x:c r="N23" s="2" t="n">
        <x:v>0</x:v>
      </x:c>
      <x:c r="O23" s="2" t="n">
        <x:v>0</x:v>
      </x:c>
      <x:c r="P23" s="2" t="n">
        <x:v>120</x:v>
      </x:c>
      <x:c r="Q23" s="2" t="n">
        <x:v>360</x:v>
      </x:c>
      <x:c r="R23" s="2" t="n">
        <x:v>0</x:v>
      </x:c>
      <x:c r="S23" s="2" t="n">
        <x:v>3500000000</x:v>
      </x:c>
      <x:c r="T23" s="2" t="n">
        <x:v>100</x:v>
      </x:c>
      <x:c r="U23" s="2" t="n">
        <x:v>100.3605998</x:v>
      </x:c>
      <x:c r="V23" s="2" t="n">
        <x:v>10</x:v>
      </x:c>
      <x:c r="W23" s="2" t="n">
        <x:v>200</x:v>
      </x:c>
      <x:c r="X23" s="2" t="n">
        <x:v>100000000</x:v>
      </x:c>
      <x:c r="Y23" s="2" t="n">
        <x:v>2</x:v>
      </x:c>
      <x:c r="Z23" s="2" t="str">
        <x:v>DL|UL|UL|UL|</x:v>
      </x:c>
      <x:c r="AA23" s="2" t="n">
        <x:v>1400</x:v>
      </x:c>
      <x:c r="AB23" s="2" t="n">
        <x:v>1048576</x:v>
      </x:c>
      <x:c r="AC23" s="2" t="n">
        <x:v>42</x:v>
      </x:c>
      <x:c r="AD23" s="2" t="n">
        <x:v>2</x:v>
      </x:c>
      <x:c r="AE23" s="7" t="n">
        <x:v>203.9995104</x:v>
      </x:c>
      <x:c r="AF23" s="7" t="n">
        <x:v>199.99952</x:v>
      </x:c>
      <x:c r="AG23" s="7" t="n">
        <x:v>3.640645536</x:v>
      </x:c>
      <x:c r="AH23" s="7" t="n">
        <x:v>0.099022929</x:v>
      </x:c>
      <x:c r="AI23" s="7" t="n">
        <x:v>0</x:v>
      </x:c>
      <x:c r="AJ23" s="2" t="n">
        <x:v>178571</x:v>
      </x:c>
      <x:c r="AK23" s="2" t="n">
        <x:v>178571</x:v>
      </x:c>
      <x:c r="AL23" s="2" t="n">
        <x:v>254999388</x:v>
      </x:c>
      <x:c r="AM23" s="2" t="n">
        <x:v>0</x:v>
      </x:c>
      <x:c r="AN23" s="2" t="str">
        <x:v>experiments/execution_184/batch_dataset.csv</x:v>
      </x:c>
    </x:row>
    <x:row r="24" ht="24" customHeight="1">
      <x:c r="A24" s="2" t="str">
        <x:v>success</x:v>
      </x:c>
      <x:c r="B24" s="2" t="n">
        <x:v>5</x:v>
      </x:c>
      <x:c r="C24" s="2" t="str">
        <x:v>scheduler_TdmaRandom_run_3</x:v>
      </x:c>
      <x:c r="D24" s="2" t="n">
        <x:v>185</x:v>
      </x:c>
      <x:c r="E24" s="2" t="str">
        <x:v>ns3</x:v>
      </x:c>
      <x:c r="F24" s="2" t="str">
        <x:v>experiments/execution_185/experiment_5/config.json</x:v>
      </x:c>
      <x:c r="G24" s="2" t="str">
        <x:v>experiments/execution_185/experiment_5/results.json</x:v>
      </x:c>
      <x:c r="H24" s="2" t="str">
        <x:v>/home/dinos/ns-allinone-3.47/ns-3.47/experiments/execution_185/experiment_5</x:v>
      </x:c>
      <x:c r="I24" s="2" t="str">
        <x:v>TdmaRandom</x:v>
      </x:c>
      <x:c r="J24" s="3" t="b">
        <x:v>1</x:v>
      </x:c>
      <x:c r="K24" s="2" t="n">
        <x:v>3</x:v>
      </x:c>
      <x:c r="L24" s="2" t="n">
        <x:v>16</x:v>
      </x:c>
      <x:c r="M24" s="2" t="str">
        <x:v>Cosine</x:v>
      </x:c>
      <x:c r="N24" s="2" t="n">
        <x:v>0</x:v>
      </x:c>
      <x:c r="O24" s="2" t="n">
        <x:v>0</x:v>
      </x:c>
      <x:c r="P24" s="2" t="n">
        <x:v>120</x:v>
      </x:c>
      <x:c r="Q24" s="2" t="n">
        <x:v>360</x:v>
      </x:c>
      <x:c r="R24" s="2" t="n">
        <x:v>0</x:v>
      </x:c>
      <x:c r="S24" s="2" t="n">
        <x:v>3500000000</x:v>
      </x:c>
      <x:c r="T24" s="2" t="n">
        <x:v>100</x:v>
      </x:c>
      <x:c r="U24" s="2" t="n">
        <x:v>100.3605998</x:v>
      </x:c>
      <x:c r="V24" s="2" t="n">
        <x:v>10</x:v>
      </x:c>
      <x:c r="W24" s="2" t="n">
        <x:v>200</x:v>
      </x:c>
      <x:c r="X24" s="2" t="n">
        <x:v>100000000</x:v>
      </x:c>
      <x:c r="Y24" s="2" t="n">
        <x:v>2</x:v>
      </x:c>
      <x:c r="Z24" s="2" t="str">
        <x:v>DL|UL|UL|UL|</x:v>
      </x:c>
      <x:c r="AA24" s="2" t="n">
        <x:v>1400</x:v>
      </x:c>
      <x:c r="AB24" s="2" t="n">
        <x:v>1048576</x:v>
      </x:c>
      <x:c r="AC24" s="2" t="n">
        <x:v>42</x:v>
      </x:c>
      <x:c r="AD24" s="2" t="n">
        <x:v>3</x:v>
      </x:c>
      <x:c r="AE24" s="7" t="n">
        <x:v>203.9995104</x:v>
      </x:c>
      <x:c r="AF24" s="7" t="n">
        <x:v>199.99952</x:v>
      </x:c>
      <x:c r="AG24" s="7" t="n">
        <x:v>3.636577307</x:v>
      </x:c>
      <x:c r="AH24" s="7" t="n">
        <x:v>0.099037143</x:v>
      </x:c>
      <x:c r="AI24" s="7" t="n">
        <x:v>0</x:v>
      </x:c>
      <x:c r="AJ24" s="2" t="n">
        <x:v>178571</x:v>
      </x:c>
      <x:c r="AK24" s="2" t="n">
        <x:v>178571</x:v>
      </x:c>
      <x:c r="AL24" s="2" t="n">
        <x:v>254999388</x:v>
      </x:c>
      <x:c r="AM24" s="2" t="n">
        <x:v>0</x:v>
      </x:c>
      <x:c r="AN24" s="2" t="str">
        <x:v>experiments/execution_185/batch_dataset.csv</x:v>
      </x:c>
    </x:row>
    <x:row r="25" ht="24" customHeight="1">
      <x:c r="A25" s="2" t="str">
        <x:v>success</x:v>
      </x:c>
      <x:c r="B25" s="2" t="n">
        <x:v>5</x:v>
      </x:c>
      <x:c r="C25" s="2" t="str">
        <x:v>scheduler_TdmaRandom_run_4</x:v>
      </x:c>
      <x:c r="D25" s="2" t="n">
        <x:v>186</x:v>
      </x:c>
      <x:c r="E25" s="2" t="str">
        <x:v>ns3</x:v>
      </x:c>
      <x:c r="F25" s="2" t="str">
        <x:v>experiments/execution_186/experiment_5/config.json</x:v>
      </x:c>
      <x:c r="G25" s="2" t="str">
        <x:v>experiments/execution_186/experiment_5/results.json</x:v>
      </x:c>
      <x:c r="H25" s="2" t="str">
        <x:v>/home/dinos/ns-allinone-3.47/ns-3.47/experiments/execution_186/experiment_5</x:v>
      </x:c>
      <x:c r="I25" s="2" t="str">
        <x:v>TdmaRandom</x:v>
      </x:c>
      <x:c r="J25" s="3" t="b">
        <x:v>1</x:v>
      </x:c>
      <x:c r="K25" s="2" t="n">
        <x:v>3</x:v>
      </x:c>
      <x:c r="L25" s="2" t="n">
        <x:v>16</x:v>
      </x:c>
      <x:c r="M25" s="2" t="str">
        <x:v>Cosine</x:v>
      </x:c>
      <x:c r="N25" s="2" t="n">
        <x:v>0</x:v>
      </x:c>
      <x:c r="O25" s="2" t="n">
        <x:v>0</x:v>
      </x:c>
      <x:c r="P25" s="2" t="n">
        <x:v>120</x:v>
      </x:c>
      <x:c r="Q25" s="2" t="n">
        <x:v>360</x:v>
      </x:c>
      <x:c r="R25" s="2" t="n">
        <x:v>0</x:v>
      </x:c>
      <x:c r="S25" s="2" t="n">
        <x:v>3500000000</x:v>
      </x:c>
      <x:c r="T25" s="2" t="n">
        <x:v>100</x:v>
      </x:c>
      <x:c r="U25" s="2" t="n">
        <x:v>100.3605998</x:v>
      </x:c>
      <x:c r="V25" s="2" t="n">
        <x:v>10</x:v>
      </x:c>
      <x:c r="W25" s="2" t="n">
        <x:v>200</x:v>
      </x:c>
      <x:c r="X25" s="2" t="n">
        <x:v>100000000</x:v>
      </x:c>
      <x:c r="Y25" s="2" t="n">
        <x:v>2</x:v>
      </x:c>
      <x:c r="Z25" s="2" t="str">
        <x:v>DL|UL|UL|UL|</x:v>
      </x:c>
      <x:c r="AA25" s="2" t="n">
        <x:v>1400</x:v>
      </x:c>
      <x:c r="AB25" s="2" t="n">
        <x:v>1048576</x:v>
      </x:c>
      <x:c r="AC25" s="2" t="n">
        <x:v>42</x:v>
      </x:c>
      <x:c r="AD25" s="2" t="n">
        <x:v>4</x:v>
      </x:c>
      <x:c r="AE25" s="7" t="n">
        <x:v>203.9995104</x:v>
      </x:c>
      <x:c r="AF25" s="7" t="n">
        <x:v>199.99952</x:v>
      </x:c>
      <x:c r="AG25" s="7" t="n">
        <x:v>3.646047089</x:v>
      </x:c>
      <x:c r="AH25" s="7" t="n">
        <x:v>0.099062293</x:v>
      </x:c>
      <x:c r="AI25" s="7" t="n">
        <x:v>0</x:v>
      </x:c>
      <x:c r="AJ25" s="2" t="n">
        <x:v>178571</x:v>
      </x:c>
      <x:c r="AK25" s="2" t="n">
        <x:v>178571</x:v>
      </x:c>
      <x:c r="AL25" s="2" t="n">
        <x:v>254999388</x:v>
      </x:c>
      <x:c r="AM25" s="2" t="n">
        <x:v>0</x:v>
      </x:c>
      <x:c r="AN25" s="2" t="str">
        <x:v>experiments/execution_186/batch_dataset.csv</x:v>
      </x:c>
    </x:row>
    <x:row r="26" ht="24" customHeight="1">
      <x:c r="A26" s="2" t="str">
        <x:v>success</x:v>
      </x:c>
      <x:c r="B26" s="2" t="n">
        <x:v>5</x:v>
      </x:c>
      <x:c r="C26" s="2" t="str">
        <x:v>scheduler_TdmaRandom_run_5</x:v>
      </x:c>
      <x:c r="D26" s="2" t="n">
        <x:v>187</x:v>
      </x:c>
      <x:c r="E26" s="2" t="str">
        <x:v>ns3</x:v>
      </x:c>
      <x:c r="F26" s="2" t="str">
        <x:v>experiments/execution_187/experiment_5/config.json</x:v>
      </x:c>
      <x:c r="G26" s="2" t="str">
        <x:v>experiments/execution_187/experiment_5/results.json</x:v>
      </x:c>
      <x:c r="H26" s="2" t="str">
        <x:v>/home/dinos/ns-allinone-3.47/ns-3.47/experiments/execution_187/experiment_5</x:v>
      </x:c>
      <x:c r="I26" s="2" t="str">
        <x:v>TdmaRandom</x:v>
      </x:c>
      <x:c r="J26" s="3" t="b">
        <x:v>1</x:v>
      </x:c>
      <x:c r="K26" s="2" t="n">
        <x:v>3</x:v>
      </x:c>
      <x:c r="L26" s="2" t="n">
        <x:v>16</x:v>
      </x:c>
      <x:c r="M26" s="2" t="str">
        <x:v>Cosine</x:v>
      </x:c>
      <x:c r="N26" s="2" t="n">
        <x:v>0</x:v>
      </x:c>
      <x:c r="O26" s="2" t="n">
        <x:v>0</x:v>
      </x:c>
      <x:c r="P26" s="2" t="n">
        <x:v>120</x:v>
      </x:c>
      <x:c r="Q26" s="2" t="n">
        <x:v>360</x:v>
      </x:c>
      <x:c r="R26" s="2" t="n">
        <x:v>0</x:v>
      </x:c>
      <x:c r="S26" s="2" t="n">
        <x:v>3500000000</x:v>
      </x:c>
      <x:c r="T26" s="2" t="n">
        <x:v>100</x:v>
      </x:c>
      <x:c r="U26" s="2" t="n">
        <x:v>100.3605998</x:v>
      </x:c>
      <x:c r="V26" s="2" t="n">
        <x:v>10</x:v>
      </x:c>
      <x:c r="W26" s="2" t="n">
        <x:v>200</x:v>
      </x:c>
      <x:c r="X26" s="2" t="n">
        <x:v>100000000</x:v>
      </x:c>
      <x:c r="Y26" s="2" t="n">
        <x:v>2</x:v>
      </x:c>
      <x:c r="Z26" s="2" t="str">
        <x:v>DL|UL|UL|UL|</x:v>
      </x:c>
      <x:c r="AA26" s="2" t="n">
        <x:v>1400</x:v>
      </x:c>
      <x:c r="AB26" s="2" t="n">
        <x:v>1048576</x:v>
      </x:c>
      <x:c r="AC26" s="2" t="n">
        <x:v>42</x:v>
      </x:c>
      <x:c r="AD26" s="2" t="n">
        <x:v>5</x:v>
      </x:c>
      <x:c r="AE26" s="7" t="n">
        <x:v>203.9995104</x:v>
      </x:c>
      <x:c r="AF26" s="7" t="n">
        <x:v>199.99952</x:v>
      </x:c>
      <x:c r="AG26" s="7" t="n">
        <x:v>3.646491225</x:v>
      </x:c>
      <x:c r="AH26" s="7" t="n">
        <x:v>0.0990052</x:v>
      </x:c>
      <x:c r="AI26" s="7" t="n">
        <x:v>0</x:v>
      </x:c>
      <x:c r="AJ26" s="2" t="n">
        <x:v>178571</x:v>
      </x:c>
      <x:c r="AK26" s="2" t="n">
        <x:v>178571</x:v>
      </x:c>
      <x:c r="AL26" s="2" t="n">
        <x:v>254999388</x:v>
      </x:c>
      <x:c r="AM26" s="2" t="n">
        <x:v>0</x:v>
      </x:c>
      <x:c r="AN26" s="2" t="str">
        <x:v>experiments/execution_187/batch_dataset.csv</x:v>
      </x:c>
    </x:row>
  </x:sheetData>
  <x:pageMargins left="0.7" right="0.7" top="0.75" bottom="0.75" header="0.3" footer="0.3"/>
  <x:tableParts count="1">
    <x:tablePart xmlns:r="http://schemas.openxmlformats.org/officeDocument/2006/relationships" r:id="R040f18d903194f1b"/>
  </x:tableParts>
</x:worksheet>
</file>