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118e2675d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71b804779ae4686"/>
    <x:sheet xmlns:r="http://schemas.openxmlformats.org/officeDocument/2006/relationships" name="Five runs" sheetId="2" r:id="R31e1ac2c51a546f4"/>
    <x:sheet xmlns:r="http://schemas.openxmlformats.org/officeDocument/2006/relationships" name="Raw data" sheetId="3" r:id="Rb2ccd39a4bda4e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"/>
    <x:numFmt numFmtId="201" formatCode="0.00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  <x:font>
      <x:b/>
      <x:sz val="16"/>
      <x:color rgb="FF17365D"/>
      <x:name val="Arial"/>
    </x:font>
    <x:font>
      <x:sz val="10"/>
      <x:color rgb="FF47556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1dc7057ab84c8d" /><Relationship Type="http://schemas.openxmlformats.org/officeDocument/2006/relationships/theme" Target="/xl/theme/theme1.xml" Id="Rc662463dfa4a4f46" /><Relationship Type="http://schemas.openxmlformats.org/officeDocument/2006/relationships/sharedStrings" Target="/xl/sharedStrings.xml" Id="R6b8dd81f52d149e5" /><Relationship Type="http://schemas.openxmlformats.org/officeDocument/2006/relationships/worksheet" Target="/xl/worksheets/sheet1.xml" Id="R771b804779ae4686" /><Relationship Type="http://schemas.openxmlformats.org/officeDocument/2006/relationships/worksheet" Target="/xl/worksheets/sheet2.xml" Id="R31e1ac2c51a546f4" /><Relationship Type="http://schemas.openxmlformats.org/officeDocument/2006/relationships/worksheet" Target="/xl/worksheets/sheet3.xml" Id="Rb2ccd39a4bda4e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5cbfb40141447c" /><Relationship Type="http://schemas.openxmlformats.org/officeDocument/2006/relationships/chart" Target="/xl/drawings/charts/chart2.xml" Id="Rd42e25af542b4154" /><Relationship Type="http://schemas.openxmlformats.org/officeDocument/2006/relationships/chart" Target="/xl/drawings/charts/chart3.xml" Id="R3797a5defd704f2f" /><Relationship Type="http://schemas.openxmlformats.org/officeDocument/2006/relationships/chart" Target="/xl/drawings/charts/chart4.xml" Id="R496060131ac1417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50eff2f91fdc4307" /><Relationship Type="http://schemas.openxmlformats.org/officeDocument/2006/relationships/chart" Target="/xl/drawings/charts/chart6.xml" Id="R1a6dc8d1af1449ec" /><Relationship Type="http://schemas.openxmlformats.org/officeDocument/2006/relationships/chart" Target="/xl/drawings/charts/chart7.xml" Id="Rc39cc93ea99849d2" /><Relationship Type="http://schemas.openxmlformats.org/officeDocument/2006/relationships/chart" Target="/xl/drawings/charts/chart8.xml" Id="R66b2dd100cb1476a" /></Relationships>
</file>

<file path=xl/drawings/charts/chart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Throughput and goodput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Throughput (Mbps)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xVal>
            <c:numRef>
              <c:f>'Overview'!$A$58:$A$72</c:f>
              <c:numCache>
                <c:formatCode>General</c:formatCode>
                <c:ptCount val="0"/>
              </c:numCache>
            </c:numRef>
          </c:xVal>
          <c:yVal>
            <c:numRef>
              <c:f>'Overview'!$B$58:$B$72</c:f>
              <c:numCache>
                <c:formatCode>0.00000</c:formatCode>
                <c:ptCount val="0"/>
              </c:numCache>
            </c:numRef>
          </c:yVal>
        </c:ser>
        <c:ser>
          <c:idx val="1"/>
          <c:order val="1"/>
          <c:tx>
            <c:v>Goodput (Mbps)</c:v>
          </c:tx>
          <c:spPr>
            <a:solidFill>
              <a:srgbClr val="E28A22"/>
            </a:solidFill>
            <a:ln w="19050">
              <a:solidFill>
                <a:srgbClr val="E28A22"/>
              </a:solidFill>
              <a:prstDash val="solid"/>
            </a:ln>
          </c:spPr>
          <c:xVal>
            <c:numRef>
              <c:f>'Overview'!$A$58:$A$72</c:f>
              <c:numCache>
                <c:formatCode>General</c:formatCode>
                <c:ptCount val="0"/>
              </c:numCache>
            </c:numRef>
          </c:xVal>
          <c:yVal>
            <c:numRef>
              <c:f>'Overview'!$C$58:$C$72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Rate (Mbps)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Offered traffic rate (Mbps)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2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End-to-end delay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Delay (ms)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xVal>
            <c:numRef>
              <c:f>'Overview'!$A$58:$A$72</c:f>
              <c:numCache>
                <c:formatCode>General</c:formatCode>
                <c:ptCount val="0"/>
              </c:numCache>
            </c:numRef>
          </c:xVal>
          <c:yVal>
            <c:numRef>
              <c:f>'Overview'!$D$58:$D$72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Delay (ms)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Offered traffic rate (Mbps)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3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Packet loss after drain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Loss (%)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xVal>
            <c:numRef>
              <c:f>'Overview'!$A$58:$A$72</c:f>
              <c:numCache>
                <c:formatCode>General</c:formatCode>
                <c:ptCount val="0"/>
              </c:numCache>
            </c:numRef>
          </c:xVal>
          <c:yVal>
            <c:numRef>
              <c:f>'Overview'!$F$58:$F$72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Loss (%)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Offered traffic rate (Mbps)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4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Jitter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Jitter (ms)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xVal>
            <c:numRef>
              <c:f>'Overview'!$A$58:$A$72</c:f>
              <c:numCache>
                <c:formatCode>General</c:formatCode>
                <c:ptCount val="0"/>
              </c:numCache>
            </c:numRef>
          </c:xVal>
          <c:yVal>
            <c:numRef>
              <c:f>'Overview'!$E$58:$E$72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Jitter (ms)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Offered traffic rate (Mbps)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5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Throughput and goodput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Throughput (Mbps)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'Five runs'!$G$58:$G$62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plus>
            <c:minus>
              <c:numRef>
                <c:f>'Five runs'!$G$58:$G$62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minus>
          </c:errBars>
          <c:xVal>
            <c:numRef>
              <c:f>'Five runs'!$A$58:$A$62</c:f>
              <c:numCache>
                <c:formatCode>General</c:formatCode>
                <c:ptCount val="0"/>
              </c:numCache>
            </c:numRef>
          </c:xVal>
          <c:yVal>
            <c:numRef>
              <c:f>'Five runs'!$B$58:$B$62</c:f>
              <c:numCache>
                <c:formatCode>0.00000</c:formatCode>
                <c:ptCount val="0"/>
              </c:numCache>
            </c:numRef>
          </c:yVal>
        </c:ser>
        <c:ser>
          <c:idx val="1"/>
          <c:order val="1"/>
          <c:tx>
            <c:v>Goodput (Mbps)</c:v>
          </c:tx>
          <c:spPr>
            <a:solidFill>
              <a:srgbClr val="E28A22"/>
            </a:solidFill>
            <a:ln w="19050">
              <a:solidFill>
                <a:srgbClr val="E28A22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'Five runs'!$H$58:$H$62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plus>
            <c:minus>
              <c:numRef>
                <c:f>'Five runs'!$H$58:$H$62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minus>
          </c:errBars>
          <c:xVal>
            <c:numRef>
              <c:f>'Five runs'!$A$58:$A$62</c:f>
              <c:numCache>
                <c:formatCode>General</c:formatCode>
                <c:ptCount val="0"/>
              </c:numCache>
            </c:numRef>
          </c:xVal>
          <c:yVal>
            <c:numRef>
              <c:f>'Five runs'!$C$58:$C$62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Rate (Mbps)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Offered traffic rate (Mbps)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6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End-to-end delay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Delay (ms)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'Five runs'!$I$58:$I$62</c:f>
                <c:numCache>
                  <c:formatCode>0.000000</c:formatCode>
                  <c:ptCount val="5"/>
                  <c:pt idx="0">
                    <c:v>0.003764776742517165</c:v>
                  </c:pt>
                  <c:pt idx="1">
                    <c:v>0.0019998793097038225</c:v>
                  </c:pt>
                  <c:pt idx="2">
                    <c:v>0.013047466392080343</c:v>
                  </c:pt>
                  <c:pt idx="3">
                    <c:v>0.00984606525208217</c:v>
                  </c:pt>
                  <c:pt idx="4">
                    <c:v>0.0036052622072137715</c:v>
                  </c:pt>
                </c:numCache>
              </c:numRef>
            </c:plus>
            <c:minus>
              <c:numRef>
                <c:f>'Five runs'!$I$58:$I$62</c:f>
                <c:numCache>
                  <c:formatCode>0.000000</c:formatCode>
                  <c:ptCount val="5"/>
                  <c:pt idx="0">
                    <c:v>0.003764776742517165</c:v>
                  </c:pt>
                  <c:pt idx="1">
                    <c:v>0.0019998793097038225</c:v>
                  </c:pt>
                  <c:pt idx="2">
                    <c:v>0.013047466392080343</c:v>
                  </c:pt>
                  <c:pt idx="3">
                    <c:v>0.00984606525208217</c:v>
                  </c:pt>
                  <c:pt idx="4">
                    <c:v>0.0036052622072137715</c:v>
                  </c:pt>
                </c:numCache>
              </c:numRef>
            </c:minus>
          </c:errBars>
          <c:xVal>
            <c:numRef>
              <c:f>'Five runs'!$A$58:$A$62</c:f>
              <c:numCache>
                <c:formatCode>General</c:formatCode>
                <c:ptCount val="0"/>
              </c:numCache>
            </c:numRef>
          </c:xVal>
          <c:yVal>
            <c:numRef>
              <c:f>'Five runs'!$D$58:$D$62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Delay (ms)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Offered traffic rate (Mbps)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7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Packet loss after drain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Loss (%)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'Five runs'!$K$58:$K$62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plus>
            <c:minus>
              <c:numRef>
                <c:f>'Five runs'!$K$58:$K$62</c:f>
                <c:numCache>
                  <c:formatCode>0.000000</c:formatCode>
                  <c:ptCount val="5"/>
                  <c:pt idx="0">
                    <c:v>0.0</c:v>
                  </c:pt>
                  <c:pt idx="1">
                    <c:v>0.0</c:v>
                  </c:pt>
                  <c:pt idx="2">
                    <c:v>0.0</c:v>
                  </c:pt>
                  <c:pt idx="3">
                    <c:v>0.0</c:v>
                  </c:pt>
                  <c:pt idx="4">
                    <c:v>0.0</c:v>
                  </c:pt>
                </c:numCache>
              </c:numRef>
            </c:minus>
          </c:errBars>
          <c:xVal>
            <c:numRef>
              <c:f>'Five runs'!$A$58:$A$62</c:f>
              <c:numCache>
                <c:formatCode>General</c:formatCode>
                <c:ptCount val="0"/>
              </c:numCache>
            </c:numRef>
          </c:xVal>
          <c:yVal>
            <c:numRef>
              <c:f>'Five runs'!$F$58:$F$62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Loss (%)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Offered traffic rate (Mbps)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charts/chart8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050">
                <a:latin typeface="Arial"/>
                <a:ea typeface="Arial"/>
                <a:cs typeface="Arial"/>
              </a:rPr>
              <a:t>Jitter</a:t>
            </a:r>
          </a:p>
        </c:rich>
      </c:tx>
      <c:overlay val="0"/>
      <c:txPr>
        <a:bodyPr anchorCtr="1"/>
        <a:lstStyle/>
        <a:p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lineMarker"/>
        <c:ser>
          <c:idx val="0"/>
          <c:order val="0"/>
          <c:tx>
            <c:v>Jitter (ms)</c:v>
          </c:tx>
          <c:spPr>
            <a:solidFill>
              <a:srgbClr val="2166AC"/>
            </a:solidFill>
            <a:ln w="19050">
              <a:solidFill>
                <a:srgbClr val="2166AC"/>
              </a:solidFill>
              <a:prstDash val="solid"/>
            </a:ln>
          </c:spPr>
          <c:errBars>
            <c:errDir val="y"/>
            <c:errBarType val="both"/>
            <c:errValType val="cust"/>
            <c:noEndCap val="0"/>
            <c:plus>
              <c:numRef>
                <c:f>'Five runs'!$J$58:$J$62</c:f>
                <c:numCache>
                  <c:formatCode>0.000000</c:formatCode>
                  <c:ptCount val="5"/>
                  <c:pt idx="0">
                    <c:v>2.840572682576401e-05</c:v>
                  </c:pt>
                  <c:pt idx="1">
                    <c:v>4.736281442545448e-05</c:v>
                  </c:pt>
                  <c:pt idx="2">
                    <c:v>4.385795213755261e-05</c:v>
                  </c:pt>
                  <c:pt idx="3">
                    <c:v>5.276491085655283e-05</c:v>
                  </c:pt>
                  <c:pt idx="4">
                    <c:v>3.5011485468343945e-05</c:v>
                  </c:pt>
                </c:numCache>
              </c:numRef>
            </c:plus>
            <c:minus>
              <c:numRef>
                <c:f>'Five runs'!$J$58:$J$62</c:f>
                <c:numCache>
                  <c:formatCode>0.000000</c:formatCode>
                  <c:ptCount val="5"/>
                  <c:pt idx="0">
                    <c:v>2.840572682576401e-05</c:v>
                  </c:pt>
                  <c:pt idx="1">
                    <c:v>4.736281442545448e-05</c:v>
                  </c:pt>
                  <c:pt idx="2">
                    <c:v>4.385795213755261e-05</c:v>
                  </c:pt>
                  <c:pt idx="3">
                    <c:v>5.276491085655283e-05</c:v>
                  </c:pt>
                  <c:pt idx="4">
                    <c:v>3.5011485468343945e-05</c:v>
                  </c:pt>
                </c:numCache>
              </c:numRef>
            </c:minus>
          </c:errBars>
          <c:xVal>
            <c:numRef>
              <c:f>'Five runs'!$A$58:$A$62</c:f>
              <c:numCache>
                <c:formatCode>General</c:formatCode>
                <c:ptCount val="0"/>
              </c:numCache>
            </c:numRef>
          </c:xVal>
          <c:yVal>
            <c:numRef>
              <c:f>'Five runs'!$E$58:$E$62</c:f>
              <c:numCache>
                <c:formatCode>0.00000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Jitter (ms)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Offered traffic rate (Mbps)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5cbfb40141447c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2e25af542b4154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9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97a5defd704f2f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18</xdr:col>
      <xdr:colOff>0</xdr:colOff>
      <xdr:row>56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6060131ac1417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eff2f91fdc4307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6dc8d1af1449ec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9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9cc93ea99849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18</xdr:col>
      <xdr:colOff>0</xdr:colOff>
      <xdr:row>56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b2dd100cb1476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364bcfb8df44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1f11c775cb844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8" t="str">
        <x:v>Offered traffic rate — 5–400 Mbps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1" customHeight="1">
      <x:c r="A4" s="9" t="str">
        <x:v>Run 1 only at all 15 loads. Exploratory results, not means of five runs.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9" t="str">
        <x:v>100 MHz; UE 10 dBm; distance 100 m; numerology 2; TDD DL|UL|UL|UL|.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1" customHeight="1">
      <x:c r="A6" s="9" t="str">
        <x:v>Payload 1400 B; RLC buffer 1 MiB; seed 42; application window 10 s; drain 2 s.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1" customHeight="1">
      <x:c r="A7" s="9" t="str">
        <x:v>Loss = unreceived packets after drain / transmitted packets. Drain 5 s check gave identical metrics.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1" customHeight="1">
      <x:c r="A8" s="9" t="str">
        <x:v>Goodput saturates near 231 Mbps; the sampled transition is between 230 and 240 Mbps.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1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1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1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1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1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42" customHeight="1">
      <x:c r="A57" s="6" t="str">
        <x:v>Load (Mbps)</x:v>
      </x:c>
      <x:c r="B57" s="6" t="str">
        <x:v>Throughput (Mbps)</x:v>
      </x:c>
      <x:c r="C57" s="6" t="str">
        <x:v>Goodput (Mbps)</x:v>
      </x:c>
      <x:c r="D57" s="6" t="str">
        <x:v>Delay (ms)</x:v>
      </x:c>
      <x:c r="E57" s="6" t="str">
        <x:v>Jitter (ms)</x:v>
      </x:c>
      <x:c r="F57" s="6" t="str">
        <x:v>Loss (%)</x:v>
      </x:c>
      <x:c r="G57" s="6"/>
      <x:c r="H57" s="6"/>
      <x:c r="I57" s="6"/>
      <x:c r="J57" s="6"/>
      <x:c r="K57" s="6"/>
      <x:c r="L57" s="1"/>
      <x:c r="M57" s="1"/>
      <x:c r="N57" s="1"/>
      <x:c r="O57" s="1"/>
      <x:c r="P57" s="1"/>
      <x:c r="Q57" s="1"/>
    </x:row>
    <x:row r="58" ht="21" customHeight="1">
      <x:c r="A58" s="1" t="n">
        <x:f>'Raw data'!J4</x:f>
        <x:v>5</x:v>
      </x:c>
      <x:c r="B58" s="10" t="n">
        <x:f>'Raw data'!R4</x:f>
        <x:v>5.0996736</x:v>
      </x:c>
      <x:c r="C58" s="10" t="n">
        <x:f>'Raw data'!S4</x:f>
        <x:v>4.99968</x:v>
      </x:c>
      <x:c r="D58" s="10" t="n">
        <x:f>'Raw data'!T4</x:f>
        <x:v>4.834561461</x:v>
      </x:c>
      <x:c r="E58" s="10" t="n">
        <x:f>'Raw data'!U4</x:f>
        <x:v>0.42366965</x:v>
      </x:c>
      <x:c r="F58" s="11" t="n">
        <x:f>'Raw data'!V4*100</x:f>
        <x:v>0</x:v>
      </x:c>
      <x:c r="G58" s="10"/>
      <x:c r="H58" s="10"/>
      <x:c r="I58" s="10"/>
      <x:c r="J58" s="10"/>
      <x:c r="K58" s="10"/>
      <x:c r="L58" s="1"/>
      <x:c r="M58" s="1"/>
      <x:c r="N58" s="1"/>
      <x:c r="O58" s="1"/>
      <x:c r="P58" s="1"/>
      <x:c r="Q58" s="1"/>
    </x:row>
    <x:row r="59" ht="21" customHeight="1">
      <x:c r="A59" s="1" t="n">
        <x:f>'Raw data'!J5</x:f>
        <x:v>10</x:v>
      </x:c>
      <x:c r="B59" s="10" t="n">
        <x:f>'Raw data'!R5</x:f>
        <x:v>10.1993472</x:v>
      </x:c>
      <x:c r="C59" s="10" t="n">
        <x:f>'Raw data'!S5</x:f>
        <x:v>9.99936</x:v>
      </x:c>
      <x:c r="D59" s="10" t="n">
        <x:f>'Raw data'!T5</x:f>
        <x:v>4.787111851</x:v>
      </x:c>
      <x:c r="E59" s="10" t="n">
        <x:f>'Raw data'!U5</x:f>
        <x:v>0.984510986</x:v>
      </x:c>
      <x:c r="F59" s="11" t="n">
        <x:f>'Raw data'!V5*100</x:f>
        <x:v>0</x:v>
      </x:c>
      <x:c r="G59" s="10"/>
      <x:c r="H59" s="10"/>
      <x:c r="I59" s="10"/>
      <x:c r="J59" s="10"/>
      <x:c r="K59" s="10"/>
      <x:c r="L59" s="1"/>
      <x:c r="M59" s="1"/>
      <x:c r="N59" s="1"/>
      <x:c r="O59" s="1"/>
      <x:c r="P59" s="1"/>
      <x:c r="Q59" s="1"/>
    </x:row>
    <x:row r="60" ht="21" customHeight="1">
      <x:c r="A60" s="1" t="n">
        <x:f>'Raw data'!J6</x:f>
        <x:v>20</x:v>
      </x:c>
      <x:c r="B60" s="10" t="n">
        <x:f>'Raw data'!R6</x:f>
        <x:v>20.3998368</x:v>
      </x:c>
      <x:c r="C60" s="10" t="n">
        <x:f>'Raw data'!S6</x:f>
        <x:v>19.99984</x:v>
      </x:c>
      <x:c r="D60" s="10" t="n">
        <x:f>'Raw data'!T6</x:f>
        <x:v>3.199162116</x:v>
      </x:c>
      <x:c r="E60" s="10" t="n">
        <x:f>'Raw data'!U6</x:f>
        <x:v>0.603563918</x:v>
      </x:c>
      <x:c r="F60" s="11" t="n">
        <x:f>'Raw data'!V6*100</x:f>
        <x:v>0</x:v>
      </x:c>
      <x:c r="G60" s="10"/>
      <x:c r="H60" s="10"/>
      <x:c r="I60" s="10"/>
      <x:c r="J60" s="10"/>
      <x:c r="K60" s="10"/>
      <x:c r="L60" s="1"/>
      <x:c r="M60" s="1"/>
      <x:c r="N60" s="1"/>
      <x:c r="O60" s="1"/>
      <x:c r="P60" s="1"/>
      <x:c r="Q60" s="1"/>
    </x:row>
    <x:row r="61" ht="21" customHeight="1">
      <x:c r="A61" s="1" t="n">
        <x:f>'Raw data'!J7</x:f>
        <x:v>40</x:v>
      </x:c>
      <x:c r="B61" s="10" t="n">
        <x:f>'Raw data'!R7</x:f>
        <x:v>40.7996736</x:v>
      </x:c>
      <x:c r="C61" s="10" t="n">
        <x:f>'Raw data'!S7</x:f>
        <x:v>39.99968</x:v>
      </x:c>
      <x:c r="D61" s="10" t="n">
        <x:f>'Raw data'!T7</x:f>
        <x:v>3.312055625</x:v>
      </x:c>
      <x:c r="E61" s="10" t="n">
        <x:f>'Raw data'!U7</x:f>
        <x:v>0.424808603</x:v>
      </x:c>
      <x:c r="F61" s="11" t="n">
        <x:f>'Raw data'!V7*100</x:f>
        <x:v>0</x:v>
      </x:c>
      <x:c r="G61" s="10"/>
      <x:c r="H61" s="10"/>
      <x:c r="I61" s="10"/>
      <x:c r="J61" s="10"/>
      <x:c r="K61" s="10"/>
      <x:c r="L61" s="1"/>
      <x:c r="M61" s="1"/>
      <x:c r="N61" s="1"/>
      <x:c r="O61" s="1"/>
      <x:c r="P61" s="1"/>
      <x:c r="Q61" s="1"/>
    </x:row>
    <x:row r="62" ht="21" customHeight="1">
      <x:c r="A62" s="1" t="n">
        <x:f>'Raw data'!J8</x:f>
        <x:v>80</x:v>
      </x:c>
      <x:c r="B62" s="10" t="n">
        <x:f>'Raw data'!R8</x:f>
        <x:v>81.5993472</x:v>
      </x:c>
      <x:c r="C62" s="10" t="n">
        <x:f>'Raw data'!S8</x:f>
        <x:v>79.99936</x:v>
      </x:c>
      <x:c r="D62" s="10" t="n">
        <x:f>'Raw data'!T8</x:f>
        <x:v>3.587559091</x:v>
      </x:c>
      <x:c r="E62" s="10" t="n">
        <x:f>'Raw data'!U8</x:f>
        <x:v>0.23239265</x:v>
      </x:c>
      <x:c r="F62" s="11" t="n">
        <x:f>'Raw data'!V8*100</x:f>
        <x:v>0</x:v>
      </x:c>
      <x:c r="G62" s="10"/>
      <x:c r="H62" s="10"/>
      <x:c r="I62" s="10"/>
      <x:c r="J62" s="10"/>
      <x:c r="K62" s="10"/>
      <x:c r="L62" s="1"/>
      <x:c r="M62" s="1"/>
      <x:c r="N62" s="1"/>
      <x:c r="O62" s="1"/>
      <x:c r="P62" s="1"/>
      <x:c r="Q62" s="1"/>
    </x:row>
    <x:row r="63" ht="21" customHeight="1">
      <x:c r="A63" s="1" t="n">
        <x:f>'Raw data'!J9</x:f>
        <x:v>100</x:v>
      </x:c>
      <x:c r="B63" s="10" t="n">
        <x:f>'Raw data'!R9</x:f>
        <x:v>101.999184</x:v>
      </x:c>
      <x:c r="C63" s="10" t="n">
        <x:f>'Raw data'!S9</x:f>
        <x:v>99.9992</x:v>
      </x:c>
      <x:c r="D63" s="10" t="n">
        <x:f>'Raw data'!T9</x:f>
        <x:v>3.602544594</x:v>
      </x:c>
      <x:c r="E63" s="10" t="n">
        <x:f>'Raw data'!U9</x:f>
        <x:v>0.191859712</x:v>
      </x:c>
      <x:c r="F63" s="11" t="n">
        <x:f>'Raw data'!V9*100</x:f>
        <x:v>0</x:v>
      </x:c>
      <x:c r="G63" s="10"/>
      <x:c r="H63" s="10"/>
      <x:c r="I63" s="10"/>
      <x:c r="J63" s="10"/>
      <x:c r="K63" s="10"/>
      <x:c r="L63" s="1"/>
      <x:c r="M63" s="1"/>
      <x:c r="N63" s="1"/>
      <x:c r="O63" s="1"/>
      <x:c r="P63" s="1"/>
      <x:c r="Q63" s="1"/>
    </x:row>
    <x:row r="64" ht="21" customHeight="1">
      <x:c r="A64" s="1" t="n">
        <x:f>'Raw data'!J10</x:f>
        <x:v>150</x:v>
      </x:c>
      <x:c r="B64" s="10" t="n">
        <x:f>'Raw data'!R10</x:f>
        <x:v>152.9982048</x:v>
      </x:c>
      <x:c r="C64" s="10" t="n">
        <x:f>'Raw data'!S10</x:f>
        <x:v>149.99824</x:v>
      </x:c>
      <x:c r="D64" s="10" t="n">
        <x:f>'Raw data'!T10</x:f>
        <x:v>3.648507237</x:v>
      </x:c>
      <x:c r="E64" s="10" t="n">
        <x:f>'Raw data'!U10</x:f>
        <x:v>0.13071376</x:v>
      </x:c>
      <x:c r="F64" s="11" t="n">
        <x:f>'Raw data'!V10*100</x:f>
        <x:v>0</x:v>
      </x:c>
      <x:c r="G64" s="10"/>
      <x:c r="H64" s="10"/>
      <x:c r="I64" s="10"/>
      <x:c r="J64" s="10"/>
      <x:c r="K64" s="10"/>
      <x:c r="L64" s="1"/>
      <x:c r="M64" s="1"/>
      <x:c r="N64" s="1"/>
      <x:c r="O64" s="1"/>
      <x:c r="P64" s="1"/>
      <x:c r="Q64" s="1"/>
    </x:row>
    <x:row r="65" ht="21" customHeight="1">
      <x:c r="A65" s="1" t="n">
        <x:f>'Raw data'!J11</x:f>
        <x:v>200</x:v>
      </x:c>
      <x:c r="B65" s="10" t="n">
        <x:f>'Raw data'!R11</x:f>
        <x:v>203.9995104</x:v>
      </x:c>
      <x:c r="C65" s="10" t="n">
        <x:f>'Raw data'!S11</x:f>
        <x:v>199.99952</x:v>
      </x:c>
      <x:c r="D65" s="10" t="n">
        <x:f>'Raw data'!T11</x:f>
        <x:v>3.653616326</x:v>
      </x:c>
      <x:c r="E65" s="10" t="n">
        <x:f>'Raw data'!U11</x:f>
        <x:v>0.099031597</x:v>
      </x:c>
      <x:c r="F65" s="11" t="n">
        <x:f>'Raw data'!V11*100</x:f>
        <x:v>0</x:v>
      </x:c>
      <x:c r="G65" s="10"/>
      <x:c r="H65" s="10"/>
      <x:c r="I65" s="10"/>
      <x:c r="J65" s="10"/>
      <x:c r="K65" s="10"/>
      <x:c r="L65" s="1"/>
      <x:c r="M65" s="1"/>
      <x:c r="N65" s="1"/>
      <x:c r="O65" s="1"/>
      <x:c r="P65" s="1"/>
      <x:c r="Q65" s="1"/>
    </x:row>
    <x:row r="66" ht="21" customHeight="1">
      <x:c r="A66" s="1" t="n">
        <x:f>'Raw data'!J14</x:f>
        <x:v>210</x:v>
      </x:c>
      <x:c r="B66" s="10" t="n">
        <x:f>'Raw data'!R14</x:f>
        <x:v>214.2011424</x:v>
      </x:c>
      <x:c r="C66" s="10" t="n">
        <x:f>'Raw data'!S14</x:f>
        <x:v>210.00112</x:v>
      </x:c>
      <x:c r="D66" s="10" t="n">
        <x:f>'Raw data'!T14</x:f>
        <x:v>3.666334866</x:v>
      </x:c>
      <x:c r="E66" s="10" t="n">
        <x:f>'Raw data'!U14</x:f>
        <x:v>0.094525785</x:v>
      </x:c>
      <x:c r="F66" s="11" t="n">
        <x:f>'Raw data'!V14*100</x:f>
        <x:v>0</x:v>
      </x:c>
      <x:c r="G66" s="10"/>
      <x:c r="H66" s="10"/>
      <x:c r="I66" s="10"/>
      <x:c r="J66" s="10"/>
      <x:c r="K66" s="10"/>
      <x:c r="L66" s="1"/>
      <x:c r="M66" s="1"/>
      <x:c r="N66" s="1"/>
      <x:c r="O66" s="1"/>
      <x:c r="P66" s="1"/>
      <x:c r="Q66" s="1"/>
    </x:row>
    <x:row r="67" ht="21" customHeight="1">
      <x:c r="A67" s="1" t="n">
        <x:f>'Raw data'!J15</x:f>
        <x:v>220</x:v>
      </x:c>
      <x:c r="B67" s="10" t="n">
        <x:f>'Raw data'!R15</x:f>
        <x:v>224.3993472</x:v>
      </x:c>
      <x:c r="C67" s="10" t="n">
        <x:f>'Raw data'!S15</x:f>
        <x:v>219.99936</x:v>
      </x:c>
      <x:c r="D67" s="10" t="n">
        <x:f>'Raw data'!T15</x:f>
        <x:v>3.733332515</x:v>
      </x:c>
      <x:c r="E67" s="10" t="n">
        <x:f>'Raw data'!U15</x:f>
        <x:v>0.09031473</x:v>
      </x:c>
      <x:c r="F67" s="11" t="n">
        <x:f>'Raw data'!V15*100</x:f>
        <x:v>0</x:v>
      </x:c>
      <x:c r="G67" s="10"/>
      <x:c r="H67" s="10"/>
      <x:c r="I67" s="10"/>
      <x:c r="J67" s="10"/>
      <x:c r="K67" s="10"/>
      <x:c r="L67" s="1"/>
      <x:c r="M67" s="1"/>
      <x:c r="N67" s="1"/>
      <x:c r="O67" s="1"/>
      <x:c r="P67" s="1"/>
      <x:c r="Q67" s="1"/>
    </x:row>
    <x:row r="68" ht="21" customHeight="1">
      <x:c r="A68" s="1" t="n">
        <x:f>'Raw data'!J16</x:f>
        <x:v>230</x:v>
      </x:c>
      <x:c r="B68" s="10" t="n">
        <x:f>'Raw data'!R16</x:f>
        <x:v>234.597552</x:v>
      </x:c>
      <x:c r="C68" s="10" t="n">
        <x:f>'Raw data'!S16</x:f>
        <x:v>229.9976</x:v>
      </x:c>
      <x:c r="D68" s="10" t="n">
        <x:f>'Raw data'!T16</x:f>
        <x:v>4.111868419</x:v>
      </x:c>
      <x:c r="E68" s="10" t="n">
        <x:f>'Raw data'!U16</x:f>
        <x:v>0.086655231</x:v>
      </x:c>
      <x:c r="F68" s="11" t="n">
        <x:f>'Raw data'!V16*100</x:f>
        <x:v>0</x:v>
      </x:c>
      <x:c r="G68" s="10"/>
      <x:c r="H68" s="10"/>
      <x:c r="I68" s="10"/>
      <x:c r="J68" s="10"/>
      <x:c r="K68" s="10"/>
      <x:c r="L68" s="1"/>
      <x:c r="M68" s="1"/>
      <x:c r="N68" s="1"/>
      <x:c r="O68" s="1"/>
      <x:c r="P68" s="1"/>
      <x:c r="Q68" s="1"/>
    </x:row>
    <x:row r="69" ht="21" customHeight="1">
      <x:c r="A69" s="1" t="n">
        <x:f>'Raw data'!J17</x:f>
        <x:v>240</x:v>
      </x:c>
      <x:c r="B69" s="10" t="n">
        <x:f>'Raw data'!R17</x:f>
        <x:v>235.6851168</x:v>
      </x:c>
      <x:c r="C69" s="10" t="n">
        <x:f>'Raw data'!S17</x:f>
        <x:v>231.06384</x:v>
      </x:c>
      <x:c r="D69" s="10" t="n">
        <x:f>'Raw data'!T17</x:f>
        <x:v>36.31072604</x:v>
      </x:c>
      <x:c r="E69" s="10" t="n">
        <x:f>'Raw data'!U17</x:f>
        <x:v>0.086673342</x:v>
      </x:c>
      <x:c r="F69" s="11" t="n">
        <x:f>'Raw data'!V17*100</x:f>
        <x:v>3.7226298</x:v>
      </x:c>
      <x:c r="G69" s="10"/>
      <x:c r="H69" s="10"/>
      <x:c r="I69" s="10"/>
      <x:c r="J69" s="10"/>
      <x:c r="K69" s="10"/>
      <x:c r="L69" s="1"/>
      <x:c r="M69" s="1"/>
      <x:c r="N69" s="1"/>
      <x:c r="O69" s="1"/>
      <x:c r="P69" s="1"/>
      <x:c r="Q69" s="1"/>
    </x:row>
    <x:row r="70" ht="21" customHeight="1">
      <x:c r="A70" s="1" t="n">
        <x:f>'Raw data'!J18</x:f>
        <x:v>250</x:v>
      </x:c>
      <x:c r="B70" s="10" t="n">
        <x:f>'Raw data'!R18</x:f>
        <x:v>235.6851168</x:v>
      </x:c>
      <x:c r="C70" s="10" t="n">
        <x:f>'Raw data'!S18</x:f>
        <x:v>231.06384</x:v>
      </x:c>
      <x:c r="D70" s="10" t="n">
        <x:f>'Raw data'!T18</x:f>
        <x:v>36.93447564</x:v>
      </x:c>
      <x:c r="E70" s="10" t="n">
        <x:f>'Raw data'!U18</x:f>
        <x:v>0.087021471</x:v>
      </x:c>
      <x:c r="F70" s="11" t="n">
        <x:f>'Raw data'!V18*100</x:f>
        <x:v>7.5743457</x:v>
      </x:c>
      <x:c r="G70" s="10"/>
      <x:c r="H70" s="10"/>
      <x:c r="I70" s="10"/>
      <x:c r="J70" s="10"/>
      <x:c r="K70" s="10"/>
      <x:c r="L70" s="1"/>
      <x:c r="M70" s="1"/>
      <x:c r="N70" s="1"/>
      <x:c r="O70" s="1"/>
      <x:c r="P70" s="1"/>
      <x:c r="Q70" s="1"/>
    </x:row>
    <x:row r="71" ht="21" customHeight="1">
      <x:c r="A71" s="1" t="n">
        <x:f>'Raw data'!J12</x:f>
        <x:v>300</x:v>
      </x:c>
      <x:c r="B71" s="10" t="n">
        <x:f>'Raw data'!R12</x:f>
        <x:v>235.6851168</x:v>
      </x:c>
      <x:c r="C71" s="10" t="n">
        <x:f>'Raw data'!S12</x:f>
        <x:v>231.06384</x:v>
      </x:c>
      <x:c r="D71" s="10" t="n">
        <x:f>'Raw data'!T12</x:f>
        <x:v>37.42961878</x:v>
      </x:c>
      <x:c r="E71" s="10" t="n">
        <x:f>'Raw data'!U12</x:f>
        <x:v>0.088310075</x:v>
      </x:c>
      <x:c r="F71" s="11" t="n">
        <x:f>'Raw data'!V12*100</x:f>
        <x:v>22.979253999999997</x:v>
      </x:c>
      <x:c r="G71" s="10"/>
      <x:c r="H71" s="10"/>
      <x:c r="I71" s="10"/>
      <x:c r="J71" s="10"/>
      <x:c r="K71" s="10"/>
      <x:c r="L71" s="1"/>
      <x:c r="M71" s="1"/>
      <x:c r="N71" s="1"/>
      <x:c r="O71" s="1"/>
      <x:c r="P71" s="1"/>
      <x:c r="Q71" s="1"/>
    </x:row>
    <x:row r="72" ht="21" customHeight="1">
      <x:c r="A72" s="1" t="n">
        <x:f>'Raw data'!J13</x:f>
        <x:v>400</x:v>
      </x:c>
      <x:c r="B72" s="10" t="n">
        <x:f>'Raw data'!R13</x:f>
        <x:v>235.6851168</x:v>
      </x:c>
      <x:c r="C72" s="10" t="n">
        <x:f>'Raw data'!S13</x:f>
        <x:v>231.06384</x:v>
      </x:c>
      <x:c r="D72" s="10" t="n">
        <x:f>'Raw data'!T13</x:f>
        <x:v>37.62550289</x:v>
      </x:c>
      <x:c r="E72" s="10" t="n">
        <x:f>'Raw data'!U13</x:f>
        <x:v>0.090012378</x:v>
      </x:c>
      <x:c r="F72" s="11" t="n">
        <x:f>'Raw data'!V13*100</x:f>
        <x:v>42.2339014</x:v>
      </x:c>
      <x:c r="G72" s="10"/>
      <x:c r="H72" s="10"/>
      <x:c r="I72" s="10"/>
      <x:c r="J72" s="10"/>
      <x:c r="K72" s="10"/>
      <x:c r="L72" s="1"/>
      <x:c r="M72" s="1"/>
      <x:c r="N72" s="1"/>
      <x:c r="O72" s="1"/>
      <x:c r="P72" s="1"/>
      <x:c r="Q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pageMargins left="0.7" right="0.7" top="0.75" bottom="0.75" header="0.3" footer="0.3"/>
  <x:drawing xmlns:r="http://schemas.openxmlformats.org/officeDocument/2006/relationships" r:id="R2b364bcfb8df44a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8" t="str">
        <x:v>Offered traffic rate — five-run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1" customHeight="1">
      <x:c r="A4" s="9" t="str">
        <x:v>210–250 Mbps: mean of runs 1–5, seed 42. Error bars = ±1 sample standard deviation (SD).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1" customHeight="1">
      <x:c r="A5" s="9" t="str">
        <x:v>Same fixed parameters as Overview. Error bars may be too small to distinguish at this scale.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1" customHeight="1">
      <x:c r="A6" s="9" t="str">
        <x:v>Throughput, goodput and loss have zero observed SD across these five runs.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1" customHeight="1">
      <x:c r="A7" s="9" t="str">
        <x:v>SD describes variation across runs, not a confidence interval. Execution 48 is excluded.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1" customHeight="1">
      <x:c r="A8" s="9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1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1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1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1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1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1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1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1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21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21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1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1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21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21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1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42" customHeight="1">
      <x:c r="A57" s="6" t="str">
        <x:v>Load (Mbps)</x:v>
      </x:c>
      <x:c r="B57" s="6" t="str">
        <x:v>Throughput (Mbps)</x:v>
      </x:c>
      <x:c r="C57" s="6" t="str">
        <x:v>Goodput (Mbps)</x:v>
      </x:c>
      <x:c r="D57" s="6" t="str">
        <x:v>Delay (ms)</x:v>
      </x:c>
      <x:c r="E57" s="6" t="str">
        <x:v>Jitter (ms)</x:v>
      </x:c>
      <x:c r="F57" s="6" t="str">
        <x:v>Loss (%)</x:v>
      </x:c>
      <x:c r="G57" s="6" t="str">
        <x:v>Throughput SD</x:v>
      </x:c>
      <x:c r="H57" s="6" t="str">
        <x:v>Goodput SD</x:v>
      </x:c>
      <x:c r="I57" s="6" t="str">
        <x:v>Delay SD (ms)</x:v>
      </x:c>
      <x:c r="J57" s="6" t="str">
        <x:v>Jitter SD (ms)</x:v>
      </x:c>
      <x:c r="K57" s="6" t="str">
        <x:v>Loss SD (pp)</x:v>
      </x:c>
      <x:c r="L57" s="1"/>
      <x:c r="M57" s="1"/>
      <x:c r="N57" s="1"/>
      <x:c r="O57" s="1"/>
      <x:c r="P57" s="1"/>
      <x:c r="Q57" s="1"/>
    </x:row>
    <x:row r="58" ht="21" customHeight="1">
      <x:c r="A58" s="1" t="n">
        <x:v>210</x:v>
      </x:c>
      <x:c r="B58" s="10" t="n">
        <x:f>AVERAGE('Raw data'!R14,'Raw data'!R19,'Raw data'!R24,'Raw data'!R29,'Raw data'!R34)</x:f>
        <x:v>214.20114240000004</x:v>
      </x:c>
      <x:c r="C58" s="10" t="n">
        <x:f>AVERAGE('Raw data'!S14,'Raw data'!S19,'Raw data'!S24,'Raw data'!S29,'Raw data'!S34)</x:f>
        <x:v>210.00112</x:v>
      </x:c>
      <x:c r="D58" s="10" t="n">
        <x:f>AVERAGE('Raw data'!T14,'Raw data'!T19,'Raw data'!T24,'Raw data'!T29,'Raw data'!T34)</x:f>
        <x:v>3.6652484121999995</x:v>
      </x:c>
      <x:c r="E58" s="10" t="n">
        <x:f>AVERAGE('Raw data'!U14,'Raw data'!U19,'Raw data'!U24,'Raw data'!U29,'Raw data'!U34)</x:f>
        <x:v>0.094484327</x:v>
      </x:c>
      <x:c r="F58" s="11" t="n">
        <x:f>AVERAGE('Raw data'!V14,'Raw data'!V19,'Raw data'!V24,'Raw data'!V29,'Raw data'!V34)*100</x:f>
        <x:v>0</x:v>
      </x:c>
      <x:c r="G58" s="10" t="n">
        <x:f>STDEV('Raw data'!R14,'Raw data'!R19,'Raw data'!R24,'Raw data'!R29,'Raw data'!R34)</x:f>
        <x:v>3.1776437161565096e-14</x:v>
      </x:c>
      <x:c r="H58" s="10" t="n">
        <x:f>STDEV('Raw data'!S14,'Raw data'!S19,'Raw data'!S24,'Raw data'!S29,'Raw data'!S34)</x:f>
        <x:v>0</x:v>
      </x:c>
      <x:c r="I58" s="10" t="n">
        <x:f>STDEV('Raw data'!T14,'Raw data'!T19,'Raw data'!T24,'Raw data'!T29,'Raw data'!T34)</x:f>
        <x:v>0.003764776742517165</x:v>
      </x:c>
      <x:c r="J58" s="10" t="n">
        <x:f>STDEV('Raw data'!U14,'Raw data'!U19,'Raw data'!U24,'Raw data'!U29,'Raw data'!U34)</x:f>
        <x:v>0.00002840572682576401</x:v>
      </x:c>
      <x:c r="K58" s="10" t="n">
        <x:f>STDEV('Raw data'!V14,'Raw data'!V19,'Raw data'!V24,'Raw data'!V29,'Raw data'!V34)*100</x:f>
        <x:v>0</x:v>
      </x:c>
      <x:c r="L58" s="1"/>
      <x:c r="M58" s="1"/>
      <x:c r="N58" s="1"/>
      <x:c r="O58" s="1"/>
      <x:c r="P58" s="1"/>
      <x:c r="Q58" s="1"/>
    </x:row>
    <x:row r="59" ht="21" customHeight="1">
      <x:c r="A59" s="1" t="n">
        <x:v>220</x:v>
      </x:c>
      <x:c r="B59" s="10" t="n">
        <x:f>AVERAGE('Raw data'!R15,'Raw data'!R20,'Raw data'!R25,'Raw data'!R30,'Raw data'!R35)</x:f>
        <x:v>224.39934720000002</x:v>
      </x:c>
      <x:c r="C59" s="10" t="n">
        <x:f>AVERAGE('Raw data'!S15,'Raw data'!S20,'Raw data'!S25,'Raw data'!S30,'Raw data'!S35)</x:f>
        <x:v>219.99935999999997</x:v>
      </x:c>
      <x:c r="D59" s="10" t="n">
        <x:f>AVERAGE('Raw data'!T15,'Raw data'!T20,'Raw data'!T25,'Raw data'!T30,'Raw data'!T35)</x:f>
        <x:v>3.7308156156</x:v>
      </x:c>
      <x:c r="E59" s="10" t="n">
        <x:f>AVERAGE('Raw data'!U15,'Raw data'!U20,'Raw data'!U25,'Raw data'!U30,'Raw data'!U35)</x:f>
        <x:v>0.0903226266</x:v>
      </x:c>
      <x:c r="F59" s="11" t="n">
        <x:f>AVERAGE('Raw data'!V15,'Raw data'!V20,'Raw data'!V25,'Raw data'!V30,'Raw data'!V35)*100</x:f>
        <x:v>0</x:v>
      </x:c>
      <x:c r="G59" s="10" t="n">
        <x:f>STDEV('Raw data'!R15,'Raw data'!R20,'Raw data'!R25,'Raw data'!R30,'Raw data'!R35)</x:f>
        <x:v>3.1776437161565096e-14</x:v>
      </x:c>
      <x:c r="H59" s="10" t="n">
        <x:f>STDEV('Raw data'!S15,'Raw data'!S20,'Raw data'!S25,'Raw data'!S30,'Raw data'!S35)</x:f>
        <x:v>3.1776437161565096e-14</x:v>
      </x:c>
      <x:c r="I59" s="10" t="n">
        <x:f>STDEV('Raw data'!T15,'Raw data'!T20,'Raw data'!T25,'Raw data'!T30,'Raw data'!T35)</x:f>
        <x:v>0.0019998793097038225</x:v>
      </x:c>
      <x:c r="J59" s="10" t="n">
        <x:f>STDEV('Raw data'!U15,'Raw data'!U20,'Raw data'!U25,'Raw data'!U30,'Raw data'!U35)</x:f>
        <x:v>0.00004736281442545448</x:v>
      </x:c>
      <x:c r="K59" s="10" t="n">
        <x:f>STDEV('Raw data'!V15,'Raw data'!V20,'Raw data'!V25,'Raw data'!V30,'Raw data'!V35)*100</x:f>
        <x:v>0</x:v>
      </x:c>
      <x:c r="L59" s="1"/>
      <x:c r="M59" s="1"/>
      <x:c r="N59" s="1"/>
      <x:c r="O59" s="1"/>
      <x:c r="P59" s="1"/>
      <x:c r="Q59" s="1"/>
    </x:row>
    <x:row r="60" ht="21" customHeight="1">
      <x:c r="A60" s="1" t="n">
        <x:v>230</x:v>
      </x:c>
      <x:c r="B60" s="10" t="n">
        <x:f>AVERAGE('Raw data'!R16,'Raw data'!R21,'Raw data'!R26,'Raw data'!R31,'Raw data'!R36)</x:f>
        <x:v>234.597552</x:v>
      </x:c>
      <x:c r="C60" s="10" t="n">
        <x:f>AVERAGE('Raw data'!S16,'Raw data'!S21,'Raw data'!S26,'Raw data'!S31,'Raw data'!S36)</x:f>
        <x:v>229.9976</x:v>
      </x:c>
      <x:c r="D60" s="10" t="n">
        <x:f>AVERAGE('Raw data'!T16,'Raw data'!T21,'Raw data'!T26,'Raw data'!T31,'Raw data'!T36)</x:f>
        <x:v>4.1143541422</x:v>
      </x:c>
      <x:c r="E60" s="10" t="n">
        <x:f>AVERAGE('Raw data'!U16,'Raw data'!U21,'Raw data'!U26,'Raw data'!U31,'Raw data'!U36)</x:f>
        <x:v>0.0866090758</x:v>
      </x:c>
      <x:c r="F60" s="11" t="n">
        <x:f>AVERAGE('Raw data'!V16,'Raw data'!V21,'Raw data'!V26,'Raw data'!V31,'Raw data'!V36)*100</x:f>
        <x:v>0</x:v>
      </x:c>
      <x:c r="G60" s="10" t="n">
        <x:f>STDEV('Raw data'!R16,'Raw data'!R21,'Raw data'!R26,'Raw data'!R31,'Raw data'!R36)</x:f>
        <x:v>0</x:v>
      </x:c>
      <x:c r="H60" s="10" t="n">
        <x:f>STDEV('Raw data'!S16,'Raw data'!S21,'Raw data'!S26,'Raw data'!S31,'Raw data'!S36)</x:f>
        <x:v>0</x:v>
      </x:c>
      <x:c r="I60" s="10" t="n">
        <x:f>STDEV('Raw data'!T16,'Raw data'!T21,'Raw data'!T26,'Raw data'!T31,'Raw data'!T36)</x:f>
        <x:v>0.013047466392080343</x:v>
      </x:c>
      <x:c r="J60" s="10" t="n">
        <x:f>STDEV('Raw data'!U16,'Raw data'!U21,'Raw data'!U26,'Raw data'!U31,'Raw data'!U36)</x:f>
        <x:v>0.00004385795213755261</x:v>
      </x:c>
      <x:c r="K60" s="10" t="n">
        <x:f>STDEV('Raw data'!V16,'Raw data'!V21,'Raw data'!V26,'Raw data'!V31,'Raw data'!V36)*100</x:f>
        <x:v>0</x:v>
      </x:c>
      <x:c r="L60" s="1"/>
      <x:c r="M60" s="1"/>
      <x:c r="N60" s="1"/>
      <x:c r="O60" s="1"/>
      <x:c r="P60" s="1"/>
      <x:c r="Q60" s="1"/>
    </x:row>
    <x:row r="61" ht="21" customHeight="1">
      <x:c r="A61" s="1" t="n">
        <x:v>240</x:v>
      </x:c>
      <x:c r="B61" s="10" t="n">
        <x:f>AVERAGE('Raw data'!R17,'Raw data'!R22,'Raw data'!R27,'Raw data'!R32,'Raw data'!R37)</x:f>
        <x:v>235.6851168</x:v>
      </x:c>
      <x:c r="C61" s="10" t="n">
        <x:f>AVERAGE('Raw data'!S17,'Raw data'!S22,'Raw data'!S27,'Raw data'!S32,'Raw data'!S37)</x:f>
        <x:v>231.06383999999997</x:v>
      </x:c>
      <x:c r="D61" s="10" t="n">
        <x:f>AVERAGE('Raw data'!T17,'Raw data'!T22,'Raw data'!T27,'Raw data'!T32,'Raw data'!T37)</x:f>
        <x:v>36.313654529999994</x:v>
      </x:c>
      <x:c r="E61" s="10" t="n">
        <x:f>AVERAGE('Raw data'!U17,'Raw data'!U22,'Raw data'!U27,'Raw data'!U32,'Raw data'!U37)</x:f>
        <x:v>0.08668868619999999</x:v>
      </x:c>
      <x:c r="F61" s="11" t="n">
        <x:f>AVERAGE('Raw data'!V17,'Raw data'!V22,'Raw data'!V27,'Raw data'!V32,'Raw data'!V37)*100</x:f>
        <x:v>3.7226298</x:v>
      </x:c>
      <x:c r="G61" s="10" t="n">
        <x:f>STDEV('Raw data'!R17,'Raw data'!R22,'Raw data'!R27,'Raw data'!R32,'Raw data'!R37)</x:f>
        <x:v>0</x:v>
      </x:c>
      <x:c r="H61" s="10" t="n">
        <x:f>STDEV('Raw data'!S17,'Raw data'!S22,'Raw data'!S27,'Raw data'!S32,'Raw data'!S37)</x:f>
        <x:v>3.1776437161565096e-14</x:v>
      </x:c>
      <x:c r="I61" s="10" t="n">
        <x:f>STDEV('Raw data'!T17,'Raw data'!T22,'Raw data'!T27,'Raw data'!T32,'Raw data'!T37)</x:f>
        <x:v>0.00984606525208217</x:v>
      </x:c>
      <x:c r="J61" s="10" t="n">
        <x:f>STDEV('Raw data'!U17,'Raw data'!U22,'Raw data'!U27,'Raw data'!U32,'Raw data'!U37)</x:f>
        <x:v>0.000052764910856552826</x:v>
      </x:c>
      <x:c r="K61" s="10" t="n">
        <x:f>STDEV('Raw data'!V17,'Raw data'!V22,'Raw data'!V27,'Raw data'!V32,'Raw data'!V37)*100</x:f>
        <x:v>0</x:v>
      </x:c>
      <x:c r="L61" s="1"/>
      <x:c r="M61" s="1"/>
      <x:c r="N61" s="1"/>
      <x:c r="O61" s="1"/>
      <x:c r="P61" s="1"/>
      <x:c r="Q61" s="1"/>
    </x:row>
    <x:row r="62" ht="21" customHeight="1">
      <x:c r="A62" s="1" t="n">
        <x:v>250</x:v>
      </x:c>
      <x:c r="B62" s="10" t="n">
        <x:f>AVERAGE('Raw data'!R18,'Raw data'!R23,'Raw data'!R28,'Raw data'!R33,'Raw data'!R38)</x:f>
        <x:v>235.6851168</x:v>
      </x:c>
      <x:c r="C62" s="10" t="n">
        <x:f>AVERAGE('Raw data'!S18,'Raw data'!S23,'Raw data'!S28,'Raw data'!S33,'Raw data'!S38)</x:f>
        <x:v>231.06383999999997</x:v>
      </x:c>
      <x:c r="D62" s="10" t="n">
        <x:f>AVERAGE('Raw data'!T18,'Raw data'!T23,'Raw data'!T28,'Raw data'!T33,'Raw data'!T38)</x:f>
        <x:v>36.93553773800001</x:v>
      </x:c>
      <x:c r="E62" s="10" t="n">
        <x:f>AVERAGE('Raw data'!U18,'Raw data'!U23,'Raw data'!U28,'Raw data'!U33,'Raw data'!U38)</x:f>
        <x:v>0.08701761779999999</x:v>
      </x:c>
      <x:c r="F62" s="11" t="n">
        <x:f>AVERAGE('Raw data'!V18,'Raw data'!V23,'Raw data'!V28,'Raw data'!V33,'Raw data'!V38)*100</x:f>
        <x:v>7.5743457</x:v>
      </x:c>
      <x:c r="G62" s="10" t="n">
        <x:f>STDEV('Raw data'!R18,'Raw data'!R23,'Raw data'!R28,'Raw data'!R33,'Raw data'!R38)</x:f>
        <x:v>0</x:v>
      </x:c>
      <x:c r="H62" s="10" t="n">
        <x:f>STDEV('Raw data'!S18,'Raw data'!S23,'Raw data'!S28,'Raw data'!S33,'Raw data'!S38)</x:f>
        <x:v>3.1776437161565096e-14</x:v>
      </x:c>
      <x:c r="I62" s="10" t="n">
        <x:f>STDEV('Raw data'!T18,'Raw data'!T23,'Raw data'!T28,'Raw data'!T33,'Raw data'!T38)</x:f>
        <x:v>0.0036052622072137715</x:v>
      </x:c>
      <x:c r="J62" s="10" t="n">
        <x:f>STDEV('Raw data'!U18,'Raw data'!U23,'Raw data'!U28,'Raw data'!U33,'Raw data'!U38)</x:f>
        <x:v>0.000035011485468343945</x:v>
      </x:c>
      <x:c r="K62" s="10" t="n">
        <x:f>STDEV('Raw data'!V18,'Raw data'!V23,'Raw data'!V28,'Raw data'!V33,'Raw data'!V38)*100</x:f>
        <x:v>0</x:v>
      </x:c>
      <x:c r="L62" s="1"/>
      <x:c r="M62" s="1"/>
      <x:c r="N62" s="1"/>
      <x:c r="O62" s="1"/>
      <x:c r="P62" s="1"/>
      <x:c r="Q62" s="1"/>
    </x:row>
    <x:row r="63" ht="21" customHeight="1">
      <x:c r="A63" s="1"/>
      <x:c r="B63" s="10"/>
      <x:c r="C63" s="10"/>
      <x:c r="D63" s="10"/>
      <x:c r="E63" s="10"/>
      <x:c r="F63" s="11"/>
      <x:c r="G63" s="10"/>
      <x:c r="H63" s="10"/>
      <x:c r="I63" s="10"/>
      <x:c r="J63" s="10"/>
      <x:c r="K63" s="10"/>
      <x:c r="L63" s="1"/>
      <x:c r="M63" s="1"/>
      <x:c r="N63" s="1"/>
      <x:c r="O63" s="1"/>
      <x:c r="P63" s="1"/>
      <x:c r="Q63" s="1"/>
    </x:row>
    <x:row r="64" ht="21" customHeight="1">
      <x:c r="A64" s="1"/>
      <x:c r="B64" s="10"/>
      <x:c r="C64" s="10"/>
      <x:c r="D64" s="10"/>
      <x:c r="E64" s="10"/>
      <x:c r="F64" s="11"/>
      <x:c r="G64" s="10"/>
      <x:c r="H64" s="10"/>
      <x:c r="I64" s="10"/>
      <x:c r="J64" s="10"/>
      <x:c r="K64" s="10"/>
      <x:c r="L64" s="1"/>
      <x:c r="M64" s="1"/>
      <x:c r="N64" s="1"/>
      <x:c r="O64" s="1"/>
      <x:c r="P64" s="1"/>
      <x:c r="Q64" s="1"/>
    </x:row>
    <x:row r="65" ht="21" customHeight="1">
      <x:c r="A65" s="1"/>
      <x:c r="B65" s="10"/>
      <x:c r="C65" s="10"/>
      <x:c r="D65" s="10"/>
      <x:c r="E65" s="10"/>
      <x:c r="F65" s="11"/>
      <x:c r="G65" s="10"/>
      <x:c r="H65" s="10"/>
      <x:c r="I65" s="10"/>
      <x:c r="J65" s="10"/>
      <x:c r="K65" s="10"/>
      <x:c r="L65" s="1"/>
      <x:c r="M65" s="1"/>
      <x:c r="N65" s="1"/>
      <x:c r="O65" s="1"/>
      <x:c r="P65" s="1"/>
      <x:c r="Q65" s="1"/>
    </x:row>
    <x:row r="66" ht="21" customHeight="1">
      <x:c r="A66" s="1"/>
      <x:c r="B66" s="10"/>
      <x:c r="C66" s="10"/>
      <x:c r="D66" s="10"/>
      <x:c r="E66" s="10"/>
      <x:c r="F66" s="11"/>
      <x:c r="G66" s="10"/>
      <x:c r="H66" s="10"/>
      <x:c r="I66" s="10"/>
      <x:c r="J66" s="10"/>
      <x:c r="K66" s="10"/>
      <x:c r="L66" s="1"/>
      <x:c r="M66" s="1"/>
      <x:c r="N66" s="1"/>
      <x:c r="O66" s="1"/>
      <x:c r="P66" s="1"/>
      <x:c r="Q66" s="1"/>
    </x:row>
    <x:row r="67" ht="21" customHeight="1">
      <x:c r="A67" s="1"/>
      <x:c r="B67" s="10"/>
      <x:c r="C67" s="10"/>
      <x:c r="D67" s="10"/>
      <x:c r="E67" s="10"/>
      <x:c r="F67" s="11"/>
      <x:c r="G67" s="10"/>
      <x:c r="H67" s="10"/>
      <x:c r="I67" s="10"/>
      <x:c r="J67" s="10"/>
      <x:c r="K67" s="10"/>
      <x:c r="L67" s="1"/>
      <x:c r="M67" s="1"/>
      <x:c r="N67" s="1"/>
      <x:c r="O67" s="1"/>
      <x:c r="P67" s="1"/>
      <x:c r="Q67" s="1"/>
    </x:row>
    <x:row r="68" ht="21" customHeight="1">
      <x:c r="A68" s="1"/>
      <x:c r="B68" s="10"/>
      <x:c r="C68" s="10"/>
      <x:c r="D68" s="10"/>
      <x:c r="E68" s="10"/>
      <x:c r="F68" s="11"/>
      <x:c r="G68" s="10"/>
      <x:c r="H68" s="10"/>
      <x:c r="I68" s="10"/>
      <x:c r="J68" s="10"/>
      <x:c r="K68" s="10"/>
      <x:c r="L68" s="1"/>
      <x:c r="M68" s="1"/>
      <x:c r="N68" s="1"/>
      <x:c r="O68" s="1"/>
      <x:c r="P68" s="1"/>
      <x:c r="Q68" s="1"/>
    </x:row>
    <x:row r="69" ht="21" customHeight="1">
      <x:c r="A69" s="1"/>
      <x:c r="B69" s="10"/>
      <x:c r="C69" s="10"/>
      <x:c r="D69" s="10"/>
      <x:c r="E69" s="10"/>
      <x:c r="F69" s="11"/>
      <x:c r="G69" s="10"/>
      <x:c r="H69" s="10"/>
      <x:c r="I69" s="10"/>
      <x:c r="J69" s="10"/>
      <x:c r="K69" s="10"/>
      <x:c r="L69" s="1"/>
      <x:c r="M69" s="1"/>
      <x:c r="N69" s="1"/>
      <x:c r="O69" s="1"/>
      <x:c r="P69" s="1"/>
      <x:c r="Q69" s="1"/>
    </x:row>
    <x:row r="70" ht="21" customHeight="1">
      <x:c r="A70" s="1"/>
      <x:c r="B70" s="10"/>
      <x:c r="C70" s="10"/>
      <x:c r="D70" s="10"/>
      <x:c r="E70" s="10"/>
      <x:c r="F70" s="11"/>
      <x:c r="G70" s="10"/>
      <x:c r="H70" s="10"/>
      <x:c r="I70" s="10"/>
      <x:c r="J70" s="10"/>
      <x:c r="K70" s="10"/>
      <x:c r="L70" s="1"/>
      <x:c r="M70" s="1"/>
      <x:c r="N70" s="1"/>
      <x:c r="O70" s="1"/>
      <x:c r="P70" s="1"/>
      <x:c r="Q70" s="1"/>
    </x:row>
    <x:row r="71" ht="21" customHeight="1">
      <x:c r="A71" s="1"/>
      <x:c r="B71" s="10"/>
      <x:c r="C71" s="10"/>
      <x:c r="D71" s="10"/>
      <x:c r="E71" s="10"/>
      <x:c r="F71" s="11"/>
      <x:c r="G71" s="10"/>
      <x:c r="H71" s="10"/>
      <x:c r="I71" s="10"/>
      <x:c r="J71" s="10"/>
      <x:c r="K71" s="10"/>
      <x:c r="L71" s="1"/>
      <x:c r="M71" s="1"/>
      <x:c r="N71" s="1"/>
      <x:c r="O71" s="1"/>
      <x:c r="P71" s="1"/>
      <x:c r="Q71" s="1"/>
    </x:row>
    <x:row r="72" ht="21" customHeight="1">
      <x:c r="A72" s="1"/>
      <x:c r="B72" s="10"/>
      <x:c r="C72" s="10"/>
      <x:c r="D72" s="10"/>
      <x:c r="E72" s="10"/>
      <x:c r="F72" s="11"/>
      <x:c r="G72" s="10"/>
      <x:c r="H72" s="10"/>
      <x:c r="I72" s="10"/>
      <x:c r="J72" s="10"/>
      <x:c r="K72" s="10"/>
      <x:c r="L72" s="1"/>
      <x:c r="M72" s="1"/>
      <x:c r="N72" s="1"/>
      <x:c r="O72" s="1"/>
      <x:c r="P72" s="1"/>
      <x:c r="Q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pageMargins left="0.7" right="0.7" top="0.75" bottom="0.75" header="0.3" footer="0.3"/>
  <x:drawing xmlns:r="http://schemas.openxmlformats.org/officeDocument/2006/relationships" r:id="Rb1f11c775cb84458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5" hidden="0" customWidth="1"/>
    <x:col min="5" max="5" width="35" hidden="0" customWidth="1"/>
    <x:col min="6" max="6" width="35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</x:cols>
  <x:sheetData>
    <x:row r="1" ht="21" customHeight="1">
      <x:c r="A1" s="1" t="str">
        <x:v>Sources: n8n executions 39, 41, 43–48; original CSV columns preserved. Execution 48 = drain check only.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1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48" customHeight="1">
      <x:c r="A3" s="6" t="str">
        <x:v>experiment_id</x:v>
      </x:c>
      <x:c r="B3" s="6" t="str">
        <x:v>n8n_execution_id</x:v>
      </x:c>
      <x:c r="C3" s="6" t="str">
        <x:v>data_source</x:v>
      </x:c>
      <x:c r="D3" s="6" t="str">
        <x:v>config_path</x:v>
      </x:c>
      <x:c r="E3" s="6" t="str">
        <x:v>results_path</x:v>
      </x:c>
      <x:c r="F3" s="6" t="str">
        <x:v>experiment_dir</x:v>
      </x:c>
      <x:c r="G3" s="6" t="str">
        <x:v>ue_distance_2d_m</x:v>
      </x:c>
      <x:c r="H3" s="6" t="str">
        <x:v>ue_distance_3d_m</x:v>
      </x:c>
      <x:c r="I3" s="6" t="str">
        <x:v>ue_tx_power_dbm</x:v>
      </x:c>
      <x:c r="J3" s="6" t="str">
        <x:v>offered_load_mbps</x:v>
      </x:c>
      <x:c r="K3" s="6" t="str">
        <x:v>bandwidth_hz</x:v>
      </x:c>
      <x:c r="L3" s="6" t="str">
        <x:v>numerology</x:v>
      </x:c>
      <x:c r="M3" s="6" t="str">
        <x:v>tdd_pattern</x:v>
      </x:c>
      <x:c r="N3" s="6" t="str">
        <x:v>packet_size_bytes</x:v>
      </x:c>
      <x:c r="O3" s="6" t="str">
        <x:v>rlc_buffer_size_bytes</x:v>
      </x:c>
      <x:c r="P3" s="6" t="str">
        <x:v>rng_seed</x:v>
      </x:c>
      <x:c r="Q3" s="6" t="str">
        <x:v>rng_run</x:v>
      </x:c>
      <x:c r="R3" s="7" t="str">
        <x:v>throughput_mbps</x:v>
      </x:c>
      <x:c r="S3" s="7" t="str">
        <x:v>app_goodput_mbps</x:v>
      </x:c>
      <x:c r="T3" s="7" t="str">
        <x:v>end_to_end_delay_ms</x:v>
      </x:c>
      <x:c r="U3" s="7" t="str">
        <x:v>jitter_ms</x:v>
      </x:c>
      <x:c r="V3" s="7" t="str">
        <x:v>loss_fraction</x:v>
      </x:c>
      <x:c r="W3" s="7" t="str">
        <x:v>tx_packets</x:v>
      </x:c>
      <x:c r="X3" s="7" t="str">
        <x:v>rx_packets</x:v>
      </x:c>
      <x:c r="Y3" s="7" t="str">
        <x:v>ip_rx_bytes</x:v>
      </x:c>
      <x:c r="Z3" s="7" t="str">
        <x:v>unreceived_packets_after_drain</x:v>
      </x:c>
      <x:c r="AA3" s="7" t="str">
        <x:v>source_execution</x:v>
      </x:c>
      <x:c r="AB3" s="7" t="str">
        <x:v>drain_time_s</x:v>
      </x:c>
    </x:row>
    <x:row r="4" ht="21" customHeight="1">
      <x:c r="A4" s="1" t="str">
        <x:v>load_5mbps_run_1</x:v>
      </x:c>
      <x:c r="B4" s="1" t="n">
        <x:v>39</x:v>
      </x:c>
      <x:c r="C4" s="1" t="str">
        <x:v>ns3</x:v>
      </x:c>
      <x:c r="D4" s="1" t="str">
        <x:v>experiments/execution_39/experiment_1/config.json</x:v>
      </x:c>
      <x:c r="E4" s="1" t="str">
        <x:v>experiments/execution_39/experiment_1/results.json</x:v>
      </x:c>
      <x:c r="F4" s="1" t="str">
        <x:v>/home/dinos/ns-allinone-3.47/ns-3.47/experiments/execution_39/experiment_1</x:v>
      </x:c>
      <x:c r="G4" s="1" t="n">
        <x:v>100</x:v>
      </x:c>
      <x:c r="H4" s="1" t="n">
        <x:v>100.3605998</x:v>
      </x:c>
      <x:c r="I4" s="1" t="n">
        <x:v>10</x:v>
      </x:c>
      <x:c r="J4" s="1" t="n">
        <x:v>5</x:v>
      </x:c>
      <x:c r="K4" s="1" t="n">
        <x:v>100000000</x:v>
      </x:c>
      <x:c r="L4" s="1" t="n">
        <x:v>2</x:v>
      </x:c>
      <x:c r="M4" s="1" t="str">
        <x:v>DL|UL|UL|UL|</x:v>
      </x:c>
      <x:c r="N4" s="1" t="n">
        <x:v>1400</x:v>
      </x:c>
      <x:c r="O4" s="1" t="n">
        <x:v>1048576</x:v>
      </x:c>
      <x:c r="P4" s="1" t="n">
        <x:v>42</x:v>
      </x:c>
      <x:c r="Q4" s="1" t="n">
        <x:v>1</x:v>
      </x:c>
      <x:c r="R4" t="n">
        <x:v>5.0996736</x:v>
      </x:c>
      <x:c r="S4" t="n">
        <x:v>4.99968</x:v>
      </x:c>
      <x:c r="T4" t="n">
        <x:v>4.834561461</x:v>
      </x:c>
      <x:c r="U4" t="n">
        <x:v>0.42366965</x:v>
      </x:c>
      <x:c r="V4" t="n">
        <x:v>0</x:v>
      </x:c>
      <x:c r="W4" t="n">
        <x:v>4464</x:v>
      </x:c>
      <x:c r="X4" t="n">
        <x:v>4464</x:v>
      </x:c>
      <x:c r="Y4" t="n">
        <x:v>6374592</x:v>
      </x:c>
      <x:c r="Z4" t="n">
        <x:v>0</x:v>
      </x:c>
      <x:c r="AA4" t="n">
        <x:v>39</x:v>
      </x:c>
      <x:c r="AB4" t="n">
        <x:v>2</x:v>
      </x:c>
    </x:row>
    <x:row r="5" ht="21" customHeight="1">
      <x:c r="A5" s="1" t="str">
        <x:v>load_10mbps_run_1</x:v>
      </x:c>
      <x:c r="B5" s="1" t="n">
        <x:v>39</x:v>
      </x:c>
      <x:c r="C5" s="1" t="str">
        <x:v>ns3</x:v>
      </x:c>
      <x:c r="D5" s="1" t="str">
        <x:v>experiments/execution_39/experiment_2/config.json</x:v>
      </x:c>
      <x:c r="E5" s="1" t="str">
        <x:v>experiments/execution_39/experiment_2/results.json</x:v>
      </x:c>
      <x:c r="F5" s="1" t="str">
        <x:v>/home/dinos/ns-allinone-3.47/ns-3.47/experiments/execution_39/experiment_2</x:v>
      </x:c>
      <x:c r="G5" s="1" t="n">
        <x:v>100</x:v>
      </x:c>
      <x:c r="H5" s="1" t="n">
        <x:v>100.3605998</x:v>
      </x:c>
      <x:c r="I5" s="1" t="n">
        <x:v>10</x:v>
      </x:c>
      <x:c r="J5" s="1" t="n">
        <x:v>10</x:v>
      </x:c>
      <x:c r="K5" s="1" t="n">
        <x:v>100000000</x:v>
      </x:c>
      <x:c r="L5" s="1" t="n">
        <x:v>2</x:v>
      </x:c>
      <x:c r="M5" s="1" t="str">
        <x:v>DL|UL|UL|UL|</x:v>
      </x:c>
      <x:c r="N5" s="1" t="n">
        <x:v>1400</x:v>
      </x:c>
      <x:c r="O5" s="1" t="n">
        <x:v>1048576</x:v>
      </x:c>
      <x:c r="P5" s="1" t="n">
        <x:v>42</x:v>
      </x:c>
      <x:c r="Q5" s="1" t="n">
        <x:v>1</x:v>
      </x:c>
      <x:c r="R5" t="n">
        <x:v>10.1993472</x:v>
      </x:c>
      <x:c r="S5" t="n">
        <x:v>9.99936</x:v>
      </x:c>
      <x:c r="T5" t="n">
        <x:v>4.787111851</x:v>
      </x:c>
      <x:c r="U5" t="n">
        <x:v>0.984510986</x:v>
      </x:c>
      <x:c r="V5" t="n">
        <x:v>0</x:v>
      </x:c>
      <x:c r="W5" t="n">
        <x:v>8928</x:v>
      </x:c>
      <x:c r="X5" t="n">
        <x:v>8928</x:v>
      </x:c>
      <x:c r="Y5" t="n">
        <x:v>12749184</x:v>
      </x:c>
      <x:c r="Z5" t="n">
        <x:v>0</x:v>
      </x:c>
      <x:c r="AA5" t="n">
        <x:v>39</x:v>
      </x:c>
      <x:c r="AB5" t="n">
        <x:v>2</x:v>
      </x:c>
    </x:row>
    <x:row r="6" ht="21" customHeight="1">
      <x:c r="A6" s="1" t="str">
        <x:v>load_20mbps_run_1</x:v>
      </x:c>
      <x:c r="B6" s="1" t="n">
        <x:v>39</x:v>
      </x:c>
      <x:c r="C6" s="1" t="str">
        <x:v>ns3</x:v>
      </x:c>
      <x:c r="D6" s="1" t="str">
        <x:v>experiments/execution_39/experiment_3/config.json</x:v>
      </x:c>
      <x:c r="E6" s="1" t="str">
        <x:v>experiments/execution_39/experiment_3/results.json</x:v>
      </x:c>
      <x:c r="F6" s="1" t="str">
        <x:v>/home/dinos/ns-allinone-3.47/ns-3.47/experiments/execution_39/experiment_3</x:v>
      </x:c>
      <x:c r="G6" s="1" t="n">
        <x:v>100</x:v>
      </x:c>
      <x:c r="H6" s="1" t="n">
        <x:v>100.3605998</x:v>
      </x:c>
      <x:c r="I6" s="1" t="n">
        <x:v>10</x:v>
      </x:c>
      <x:c r="J6" s="1" t="n">
        <x:v>20</x:v>
      </x:c>
      <x:c r="K6" s="1" t="n">
        <x:v>100000000</x:v>
      </x:c>
      <x:c r="L6" s="1" t="n">
        <x:v>2</x:v>
      </x:c>
      <x:c r="M6" s="1" t="str">
        <x:v>DL|UL|UL|UL|</x:v>
      </x:c>
      <x:c r="N6" s="1" t="n">
        <x:v>1400</x:v>
      </x:c>
      <x:c r="O6" s="1" t="n">
        <x:v>1048576</x:v>
      </x:c>
      <x:c r="P6" s="1" t="n">
        <x:v>42</x:v>
      </x:c>
      <x:c r="Q6" s="1" t="n">
        <x:v>1</x:v>
      </x:c>
      <x:c r="R6" t="n">
        <x:v>20.3998368</x:v>
      </x:c>
      <x:c r="S6" t="n">
        <x:v>19.99984</x:v>
      </x:c>
      <x:c r="T6" t="n">
        <x:v>3.199162116</x:v>
      </x:c>
      <x:c r="U6" t="n">
        <x:v>0.603563918</x:v>
      </x:c>
      <x:c r="V6" t="n">
        <x:v>0</x:v>
      </x:c>
      <x:c r="W6" t="n">
        <x:v>17857</x:v>
      </x:c>
      <x:c r="X6" t="n">
        <x:v>17857</x:v>
      </x:c>
      <x:c r="Y6" t="n">
        <x:v>25499796</x:v>
      </x:c>
      <x:c r="Z6" t="n">
        <x:v>0</x:v>
      </x:c>
      <x:c r="AA6" t="n">
        <x:v>39</x:v>
      </x:c>
      <x:c r="AB6" t="n">
        <x:v>2</x:v>
      </x:c>
    </x:row>
    <x:row r="7" ht="21" customHeight="1">
      <x:c r="A7" s="1" t="str">
        <x:v>load_40mbps_run_1</x:v>
      </x:c>
      <x:c r="B7" s="1" t="n">
        <x:v>39</x:v>
      </x:c>
      <x:c r="C7" s="1" t="str">
        <x:v>ns3</x:v>
      </x:c>
      <x:c r="D7" s="1" t="str">
        <x:v>experiments/execution_39/experiment_4/config.json</x:v>
      </x:c>
      <x:c r="E7" s="1" t="str">
        <x:v>experiments/execution_39/experiment_4/results.json</x:v>
      </x:c>
      <x:c r="F7" s="1" t="str">
        <x:v>/home/dinos/ns-allinone-3.47/ns-3.47/experiments/execution_39/experiment_4</x:v>
      </x:c>
      <x:c r="G7" s="1" t="n">
        <x:v>100</x:v>
      </x:c>
      <x:c r="H7" s="1" t="n">
        <x:v>100.3605998</x:v>
      </x:c>
      <x:c r="I7" s="1" t="n">
        <x:v>10</x:v>
      </x:c>
      <x:c r="J7" s="1" t="n">
        <x:v>40</x:v>
      </x:c>
      <x:c r="K7" s="1" t="n">
        <x:v>100000000</x:v>
      </x:c>
      <x:c r="L7" s="1" t="n">
        <x:v>2</x:v>
      </x:c>
      <x:c r="M7" s="1" t="str">
        <x:v>DL|UL|UL|UL|</x:v>
      </x:c>
      <x:c r="N7" s="1" t="n">
        <x:v>1400</x:v>
      </x:c>
      <x:c r="O7" s="1" t="n">
        <x:v>1048576</x:v>
      </x:c>
      <x:c r="P7" s="1" t="n">
        <x:v>42</x:v>
      </x:c>
      <x:c r="Q7" s="1" t="n">
        <x:v>1</x:v>
      </x:c>
      <x:c r="R7" t="n">
        <x:v>40.7996736</x:v>
      </x:c>
      <x:c r="S7" t="n">
        <x:v>39.99968</x:v>
      </x:c>
      <x:c r="T7" t="n">
        <x:v>3.312055625</x:v>
      </x:c>
      <x:c r="U7" t="n">
        <x:v>0.424808603</x:v>
      </x:c>
      <x:c r="V7" t="n">
        <x:v>0</x:v>
      </x:c>
      <x:c r="W7" t="n">
        <x:v>35714</x:v>
      </x:c>
      <x:c r="X7" t="n">
        <x:v>35714</x:v>
      </x:c>
      <x:c r="Y7" t="n">
        <x:v>50999592</x:v>
      </x:c>
      <x:c r="Z7" t="n">
        <x:v>0</x:v>
      </x:c>
      <x:c r="AA7" t="n">
        <x:v>39</x:v>
      </x:c>
      <x:c r="AB7" t="n">
        <x:v>2</x:v>
      </x:c>
    </x:row>
    <x:row r="8" ht="21" customHeight="1">
      <x:c r="A8" s="1" t="str">
        <x:v>load_80mbps_run_1</x:v>
      </x:c>
      <x:c r="B8" s="1" t="n">
        <x:v>39</x:v>
      </x:c>
      <x:c r="C8" s="1" t="str">
        <x:v>ns3</x:v>
      </x:c>
      <x:c r="D8" s="1" t="str">
        <x:v>experiments/execution_39/experiment_5/config.json</x:v>
      </x:c>
      <x:c r="E8" s="1" t="str">
        <x:v>experiments/execution_39/experiment_5/results.json</x:v>
      </x:c>
      <x:c r="F8" s="1" t="str">
        <x:v>/home/dinos/ns-allinone-3.47/ns-3.47/experiments/execution_39/experiment_5</x:v>
      </x:c>
      <x:c r="G8" s="1" t="n">
        <x:v>100</x:v>
      </x:c>
      <x:c r="H8" s="1" t="n">
        <x:v>100.3605998</x:v>
      </x:c>
      <x:c r="I8" s="1" t="n">
        <x:v>10</x:v>
      </x:c>
      <x:c r="J8" s="1" t="n">
        <x:v>80</x:v>
      </x:c>
      <x:c r="K8" s="1" t="n">
        <x:v>100000000</x:v>
      </x:c>
      <x:c r="L8" s="1" t="n">
        <x:v>2</x:v>
      </x:c>
      <x:c r="M8" s="1" t="str">
        <x:v>DL|UL|UL|UL|</x:v>
      </x:c>
      <x:c r="N8" s="1" t="n">
        <x:v>1400</x:v>
      </x:c>
      <x:c r="O8" s="1" t="n">
        <x:v>1048576</x:v>
      </x:c>
      <x:c r="P8" s="1" t="n">
        <x:v>42</x:v>
      </x:c>
      <x:c r="Q8" s="1" t="n">
        <x:v>1</x:v>
      </x:c>
      <x:c r="R8" t="n">
        <x:v>81.5993472</x:v>
      </x:c>
      <x:c r="S8" t="n">
        <x:v>79.99936</x:v>
      </x:c>
      <x:c r="T8" t="n">
        <x:v>3.587559091</x:v>
      </x:c>
      <x:c r="U8" t="n">
        <x:v>0.23239265</x:v>
      </x:c>
      <x:c r="V8" t="n">
        <x:v>0</x:v>
      </x:c>
      <x:c r="W8" t="n">
        <x:v>71428</x:v>
      </x:c>
      <x:c r="X8" t="n">
        <x:v>71428</x:v>
      </x:c>
      <x:c r="Y8" t="n">
        <x:v>101999184</x:v>
      </x:c>
      <x:c r="Z8" t="n">
        <x:v>0</x:v>
      </x:c>
      <x:c r="AA8" t="n">
        <x:v>39</x:v>
      </x:c>
      <x:c r="AB8" t="n">
        <x:v>2</x:v>
      </x:c>
    </x:row>
    <x:row r="9" ht="21" customHeight="1">
      <x:c r="A9" s="1" t="str">
        <x:v>load_100mbps_run_1</x:v>
      </x:c>
      <x:c r="B9" s="1" t="n">
        <x:v>41</x:v>
      </x:c>
      <x:c r="C9" s="1" t="str">
        <x:v>ns3</x:v>
      </x:c>
      <x:c r="D9" s="1" t="str">
        <x:v>experiments/execution_41/experiment_1/config.json</x:v>
      </x:c>
      <x:c r="E9" s="1" t="str">
        <x:v>experiments/execution_41/experiment_1/results.json</x:v>
      </x:c>
      <x:c r="F9" s="1" t="str">
        <x:v>/home/dinos/ns-allinone-3.47/ns-3.47/experiments/execution_41/experiment_1</x:v>
      </x:c>
      <x:c r="G9" s="1" t="n">
        <x:v>100</x:v>
      </x:c>
      <x:c r="H9" s="1" t="n">
        <x:v>100.3605998</x:v>
      </x:c>
      <x:c r="I9" s="1" t="n">
        <x:v>10</x:v>
      </x:c>
      <x:c r="J9" s="1" t="n">
        <x:v>100</x:v>
      </x:c>
      <x:c r="K9" s="1" t="n">
        <x:v>100000000</x:v>
      </x:c>
      <x:c r="L9" s="1" t="n">
        <x:v>2</x:v>
      </x:c>
      <x:c r="M9" s="1" t="str">
        <x:v>DL|UL|UL|UL|</x:v>
      </x:c>
      <x:c r="N9" s="1" t="n">
        <x:v>1400</x:v>
      </x:c>
      <x:c r="O9" s="1" t="n">
        <x:v>1048576</x:v>
      </x:c>
      <x:c r="P9" s="1" t="n">
        <x:v>42</x:v>
      </x:c>
      <x:c r="Q9" s="1" t="n">
        <x:v>1</x:v>
      </x:c>
      <x:c r="R9" t="n">
        <x:v>101.999184</x:v>
      </x:c>
      <x:c r="S9" t="n">
        <x:v>99.9992</x:v>
      </x:c>
      <x:c r="T9" t="n">
        <x:v>3.602544594</x:v>
      </x:c>
      <x:c r="U9" t="n">
        <x:v>0.191859712</x:v>
      </x:c>
      <x:c r="V9" t="n">
        <x:v>0</x:v>
      </x:c>
      <x:c r="W9" t="n">
        <x:v>89285</x:v>
      </x:c>
      <x:c r="X9" t="n">
        <x:v>89285</x:v>
      </x:c>
      <x:c r="Y9" t="n">
        <x:v>127498980</x:v>
      </x:c>
      <x:c r="Z9" t="n">
        <x:v>0</x:v>
      </x:c>
      <x:c r="AA9" t="n">
        <x:v>41</x:v>
      </x:c>
      <x:c r="AB9" t="n">
        <x:v>2</x:v>
      </x:c>
    </x:row>
    <x:row r="10" ht="21" customHeight="1">
      <x:c r="A10" s="1" t="str">
        <x:v>load_150mbps_run_1</x:v>
      </x:c>
      <x:c r="B10" s="1" t="n">
        <x:v>41</x:v>
      </x:c>
      <x:c r="C10" s="1" t="str">
        <x:v>ns3</x:v>
      </x:c>
      <x:c r="D10" s="1" t="str">
        <x:v>experiments/execution_41/experiment_2/config.json</x:v>
      </x:c>
      <x:c r="E10" s="1" t="str">
        <x:v>experiments/execution_41/experiment_2/results.json</x:v>
      </x:c>
      <x:c r="F10" s="1" t="str">
        <x:v>/home/dinos/ns-allinone-3.47/ns-3.47/experiments/execution_41/experiment_2</x:v>
      </x:c>
      <x:c r="G10" s="1" t="n">
        <x:v>100</x:v>
      </x:c>
      <x:c r="H10" s="1" t="n">
        <x:v>100.3605998</x:v>
      </x:c>
      <x:c r="I10" s="1" t="n">
        <x:v>10</x:v>
      </x:c>
      <x:c r="J10" s="1" t="n">
        <x:v>150</x:v>
      </x:c>
      <x:c r="K10" s="1" t="n">
        <x:v>100000000</x:v>
      </x:c>
      <x:c r="L10" s="1" t="n">
        <x:v>2</x:v>
      </x:c>
      <x:c r="M10" s="1" t="str">
        <x:v>DL|UL|UL|UL|</x:v>
      </x:c>
      <x:c r="N10" s="1" t="n">
        <x:v>1400</x:v>
      </x:c>
      <x:c r="O10" s="1" t="n">
        <x:v>1048576</x:v>
      </x:c>
      <x:c r="P10" s="1" t="n">
        <x:v>42</x:v>
      </x:c>
      <x:c r="Q10" s="1" t="n">
        <x:v>1</x:v>
      </x:c>
      <x:c r="R10" t="n">
        <x:v>152.9982048</x:v>
      </x:c>
      <x:c r="S10" t="n">
        <x:v>149.99824</x:v>
      </x:c>
      <x:c r="T10" t="n">
        <x:v>3.648507237</x:v>
      </x:c>
      <x:c r="U10" t="n">
        <x:v>0.13071376</x:v>
      </x:c>
      <x:c r="V10" t="n">
        <x:v>0</x:v>
      </x:c>
      <x:c r="W10" t="n">
        <x:v>133927</x:v>
      </x:c>
      <x:c r="X10" t="n">
        <x:v>133927</x:v>
      </x:c>
      <x:c r="Y10" t="n">
        <x:v>191247756</x:v>
      </x:c>
      <x:c r="Z10" t="n">
        <x:v>0</x:v>
      </x:c>
      <x:c r="AA10" t="n">
        <x:v>41</x:v>
      </x:c>
      <x:c r="AB10" t="n">
        <x:v>2</x:v>
      </x:c>
    </x:row>
    <x:row r="11" ht="21" customHeight="1">
      <x:c r="A11" s="1" t="str">
        <x:v>load_200mbps_run_1</x:v>
      </x:c>
      <x:c r="B11" s="1" t="n">
        <x:v>41</x:v>
      </x:c>
      <x:c r="C11" s="1" t="str">
        <x:v>ns3</x:v>
      </x:c>
      <x:c r="D11" s="1" t="str">
        <x:v>experiments/execution_41/experiment_3/config.json</x:v>
      </x:c>
      <x:c r="E11" s="1" t="str">
        <x:v>experiments/execution_41/experiment_3/results.json</x:v>
      </x:c>
      <x:c r="F11" s="1" t="str">
        <x:v>/home/dinos/ns-allinone-3.47/ns-3.47/experiments/execution_41/experiment_3</x:v>
      </x:c>
      <x:c r="G11" s="1" t="n">
        <x:v>100</x:v>
      </x:c>
      <x:c r="H11" s="1" t="n">
        <x:v>100.3605998</x:v>
      </x:c>
      <x:c r="I11" s="1" t="n">
        <x:v>10</x:v>
      </x:c>
      <x:c r="J11" s="1" t="n">
        <x:v>200</x:v>
      </x:c>
      <x:c r="K11" s="1" t="n">
        <x:v>100000000</x:v>
      </x:c>
      <x:c r="L11" s="1" t="n">
        <x:v>2</x:v>
      </x:c>
      <x:c r="M11" s="1" t="str">
        <x:v>DL|UL|UL|UL|</x:v>
      </x:c>
      <x:c r="N11" s="1" t="n">
        <x:v>1400</x:v>
      </x:c>
      <x:c r="O11" s="1" t="n">
        <x:v>1048576</x:v>
      </x:c>
      <x:c r="P11" s="1" t="n">
        <x:v>42</x:v>
      </x:c>
      <x:c r="Q11" s="1" t="n">
        <x:v>1</x:v>
      </x:c>
      <x:c r="R11" t="n">
        <x:v>203.9995104</x:v>
      </x:c>
      <x:c r="S11" t="n">
        <x:v>199.99952</x:v>
      </x:c>
      <x:c r="T11" t="n">
        <x:v>3.653616326</x:v>
      </x:c>
      <x:c r="U11" t="n">
        <x:v>0.099031597</x:v>
      </x:c>
      <x:c r="V11" t="n">
        <x:v>0</x:v>
      </x:c>
      <x:c r="W11" t="n">
        <x:v>178571</x:v>
      </x:c>
      <x:c r="X11" t="n">
        <x:v>178571</x:v>
      </x:c>
      <x:c r="Y11" t="n">
        <x:v>254999388</x:v>
      </x:c>
      <x:c r="Z11" t="n">
        <x:v>0</x:v>
      </x:c>
      <x:c r="AA11" t="n">
        <x:v>41</x:v>
      </x:c>
      <x:c r="AB11" t="n">
        <x:v>2</x:v>
      </x:c>
    </x:row>
    <x:row r="12" ht="21" customHeight="1">
      <x:c r="A12" s="1" t="str">
        <x:v>load_300mbps_run_1</x:v>
      </x:c>
      <x:c r="B12" s="1" t="n">
        <x:v>41</x:v>
      </x:c>
      <x:c r="C12" s="1" t="str">
        <x:v>ns3</x:v>
      </x:c>
      <x:c r="D12" s="1" t="str">
        <x:v>experiments/execution_41/experiment_4/config.json</x:v>
      </x:c>
      <x:c r="E12" s="1" t="str">
        <x:v>experiments/execution_41/experiment_4/results.json</x:v>
      </x:c>
      <x:c r="F12" s="1" t="str">
        <x:v>/home/dinos/ns-allinone-3.47/ns-3.47/experiments/execution_41/experiment_4</x:v>
      </x:c>
      <x:c r="G12" s="1" t="n">
        <x:v>100</x:v>
      </x:c>
      <x:c r="H12" s="1" t="n">
        <x:v>100.3605998</x:v>
      </x:c>
      <x:c r="I12" s="1" t="n">
        <x:v>10</x:v>
      </x:c>
      <x:c r="J12" s="1" t="n">
        <x:v>300</x:v>
      </x:c>
      <x:c r="K12" s="1" t="n">
        <x:v>100000000</x:v>
      </x:c>
      <x:c r="L12" s="1" t="n">
        <x:v>2</x:v>
      </x:c>
      <x:c r="M12" s="1" t="str">
        <x:v>DL|UL|UL|UL|</x:v>
      </x:c>
      <x:c r="N12" s="1" t="n">
        <x:v>1400</x:v>
      </x:c>
      <x:c r="O12" s="1" t="n">
        <x:v>1048576</x:v>
      </x:c>
      <x:c r="P12" s="1" t="n">
        <x:v>42</x:v>
      </x:c>
      <x:c r="Q12" s="1" t="n">
        <x:v>1</x:v>
      </x:c>
      <x:c r="R12" t="n">
        <x:v>235.6851168</x:v>
      </x:c>
      <x:c r="S12" t="n">
        <x:v>231.06384</x:v>
      </x:c>
      <x:c r="T12" t="n">
        <x:v>37.42961878</x:v>
      </x:c>
      <x:c r="U12" t="n">
        <x:v>0.088310075</x:v>
      </x:c>
      <x:c r="V12" t="n">
        <x:v>0.22979254</x:v>
      </x:c>
      <x:c r="W12" t="n">
        <x:v>267859</x:v>
      </x:c>
      <x:c r="X12" t="n">
        <x:v>206307</x:v>
      </x:c>
      <x:c r="Y12" t="n">
        <x:v>294606396</x:v>
      </x:c>
      <x:c r="Z12" t="n">
        <x:v>61552</x:v>
      </x:c>
      <x:c r="AA12" t="n">
        <x:v>41</x:v>
      </x:c>
      <x:c r="AB12" t="n">
        <x:v>2</x:v>
      </x:c>
    </x:row>
    <x:row r="13" ht="21" customHeight="1">
      <x:c r="A13" s="1" t="str">
        <x:v>load_400mbps_run_1</x:v>
      </x:c>
      <x:c r="B13" s="1" t="n">
        <x:v>41</x:v>
      </x:c>
      <x:c r="C13" s="1" t="str">
        <x:v>ns3</x:v>
      </x:c>
      <x:c r="D13" s="1" t="str">
        <x:v>experiments/execution_41/experiment_5/config.json</x:v>
      </x:c>
      <x:c r="E13" s="1" t="str">
        <x:v>experiments/execution_41/experiment_5/results.json</x:v>
      </x:c>
      <x:c r="F13" s="1" t="str">
        <x:v>/home/dinos/ns-allinone-3.47/ns-3.47/experiments/execution_41/experiment_5</x:v>
      </x:c>
      <x:c r="G13" s="1" t="n">
        <x:v>100</x:v>
      </x:c>
      <x:c r="H13" s="1" t="n">
        <x:v>100.3605998</x:v>
      </x:c>
      <x:c r="I13" s="1" t="n">
        <x:v>10</x:v>
      </x:c>
      <x:c r="J13" s="1" t="n">
        <x:v>400</x:v>
      </x:c>
      <x:c r="K13" s="1" t="n">
        <x:v>100000000</x:v>
      </x:c>
      <x:c r="L13" s="1" t="n">
        <x:v>2</x:v>
      </x:c>
      <x:c r="M13" s="1" t="str">
        <x:v>DL|UL|UL|UL|</x:v>
      </x:c>
      <x:c r="N13" s="1" t="n">
        <x:v>1400</x:v>
      </x:c>
      <x:c r="O13" s="1" t="n">
        <x:v>1048576</x:v>
      </x:c>
      <x:c r="P13" s="1" t="n">
        <x:v>42</x:v>
      </x:c>
      <x:c r="Q13" s="1" t="n">
        <x:v>1</x:v>
      </x:c>
      <x:c r="R13" t="n">
        <x:v>235.6851168</x:v>
      </x:c>
      <x:c r="S13" t="n">
        <x:v>231.06384</x:v>
      </x:c>
      <x:c r="T13" t="n">
        <x:v>37.62550289</x:v>
      </x:c>
      <x:c r="U13" t="n">
        <x:v>0.090012378</x:v>
      </x:c>
      <x:c r="V13" t="n">
        <x:v>0.422339014</x:v>
      </x:c>
      <x:c r="W13" t="n">
        <x:v>357142</x:v>
      </x:c>
      <x:c r="X13" t="n">
        <x:v>206307</x:v>
      </x:c>
      <x:c r="Y13" t="n">
        <x:v>294606396</x:v>
      </x:c>
      <x:c r="Z13" t="n">
        <x:v>150835</x:v>
      </x:c>
      <x:c r="AA13" t="n">
        <x:v>41</x:v>
      </x:c>
      <x:c r="AB13" t="n">
        <x:v>2</x:v>
      </x:c>
    </x:row>
    <x:row r="14" ht="21" customHeight="1">
      <x:c r="A14" s="1" t="str">
        <x:v>load_210mbps_run_1</x:v>
      </x:c>
      <x:c r="B14" s="1" t="n">
        <x:v>43</x:v>
      </x:c>
      <x:c r="C14" s="1" t="str">
        <x:v>ns3</x:v>
      </x:c>
      <x:c r="D14" s="1" t="str">
        <x:v>experiments/execution_43/experiment_1/config.json</x:v>
      </x:c>
      <x:c r="E14" s="1" t="str">
        <x:v>experiments/execution_43/experiment_1/results.json</x:v>
      </x:c>
      <x:c r="F14" s="1" t="str">
        <x:v>/home/dinos/ns-allinone-3.47/ns-3.47/experiments/execution_43/experiment_1</x:v>
      </x:c>
      <x:c r="G14" s="1" t="n">
        <x:v>100</x:v>
      </x:c>
      <x:c r="H14" s="1" t="n">
        <x:v>100.3605998</x:v>
      </x:c>
      <x:c r="I14" s="1" t="n">
        <x:v>10</x:v>
      </x:c>
      <x:c r="J14" s="1" t="n">
        <x:v>210</x:v>
      </x:c>
      <x:c r="K14" s="1" t="n">
        <x:v>100000000</x:v>
      </x:c>
      <x:c r="L14" s="1" t="n">
        <x:v>2</x:v>
      </x:c>
      <x:c r="M14" s="1" t="str">
        <x:v>DL|UL|UL|UL|</x:v>
      </x:c>
      <x:c r="N14" s="1" t="n">
        <x:v>1400</x:v>
      </x:c>
      <x:c r="O14" s="1" t="n">
        <x:v>1048576</x:v>
      </x:c>
      <x:c r="P14" s="1" t="n">
        <x:v>42</x:v>
      </x:c>
      <x:c r="Q14" s="1" t="n">
        <x:v>1</x:v>
      </x:c>
      <x:c r="R14" t="n">
        <x:v>214.2011424</x:v>
      </x:c>
      <x:c r="S14" t="n">
        <x:v>210.00112</x:v>
      </x:c>
      <x:c r="T14" t="n">
        <x:v>3.666334866</x:v>
      </x:c>
      <x:c r="U14" t="n">
        <x:v>0.094525785</x:v>
      </x:c>
      <x:c r="V14" t="n">
        <x:v>0</x:v>
      </x:c>
      <x:c r="W14" t="n">
        <x:v>187501</x:v>
      </x:c>
      <x:c r="X14" t="n">
        <x:v>187501</x:v>
      </x:c>
      <x:c r="Y14" t="n">
        <x:v>267751428</x:v>
      </x:c>
      <x:c r="Z14" t="n">
        <x:v>0</x:v>
      </x:c>
      <x:c r="AA14" t="n">
        <x:v>43</x:v>
      </x:c>
      <x:c r="AB14" t="n">
        <x:v>2</x:v>
      </x:c>
    </x:row>
    <x:row r="15" ht="21" customHeight="1">
      <x:c r="A15" s="1" t="str">
        <x:v>load_220mbps_run_1</x:v>
      </x:c>
      <x:c r="B15" s="1" t="n">
        <x:v>43</x:v>
      </x:c>
      <x:c r="C15" s="1" t="str">
        <x:v>ns3</x:v>
      </x:c>
      <x:c r="D15" s="1" t="str">
        <x:v>experiments/execution_43/experiment_2/config.json</x:v>
      </x:c>
      <x:c r="E15" s="1" t="str">
        <x:v>experiments/execution_43/experiment_2/results.json</x:v>
      </x:c>
      <x:c r="F15" s="1" t="str">
        <x:v>/home/dinos/ns-allinone-3.47/ns-3.47/experiments/execution_43/experiment_2</x:v>
      </x:c>
      <x:c r="G15" s="1" t="n">
        <x:v>100</x:v>
      </x:c>
      <x:c r="H15" s="1" t="n">
        <x:v>100.3605998</x:v>
      </x:c>
      <x:c r="I15" s="1" t="n">
        <x:v>10</x:v>
      </x:c>
      <x:c r="J15" s="1" t="n">
        <x:v>220</x:v>
      </x:c>
      <x:c r="K15" s="1" t="n">
        <x:v>100000000</x:v>
      </x:c>
      <x:c r="L15" s="1" t="n">
        <x:v>2</x:v>
      </x:c>
      <x:c r="M15" s="1" t="str">
        <x:v>DL|UL|UL|UL|</x:v>
      </x:c>
      <x:c r="N15" s="1" t="n">
        <x:v>1400</x:v>
      </x:c>
      <x:c r="O15" s="1" t="n">
        <x:v>1048576</x:v>
      </x:c>
      <x:c r="P15" s="1" t="n">
        <x:v>42</x:v>
      </x:c>
      <x:c r="Q15" s="1" t="n">
        <x:v>1</x:v>
      </x:c>
      <x:c r="R15" t="n">
        <x:v>224.3993472</x:v>
      </x:c>
      <x:c r="S15" t="n">
        <x:v>219.99936</x:v>
      </x:c>
      <x:c r="T15" t="n">
        <x:v>3.733332515</x:v>
      </x:c>
      <x:c r="U15" t="n">
        <x:v>0.09031473</x:v>
      </x:c>
      <x:c r="V15" t="n">
        <x:v>0</x:v>
      </x:c>
      <x:c r="W15" t="n">
        <x:v>196428</x:v>
      </x:c>
      <x:c r="X15" t="n">
        <x:v>196428</x:v>
      </x:c>
      <x:c r="Y15" t="n">
        <x:v>280499184</x:v>
      </x:c>
      <x:c r="Z15" t="n">
        <x:v>0</x:v>
      </x:c>
      <x:c r="AA15" t="n">
        <x:v>43</x:v>
      </x:c>
      <x:c r="AB15" t="n">
        <x:v>2</x:v>
      </x:c>
    </x:row>
    <x:row r="16" ht="21" customHeight="1">
      <x:c r="A16" s="1" t="str">
        <x:v>load_230mbps_run_1</x:v>
      </x:c>
      <x:c r="B16" s="1" t="n">
        <x:v>43</x:v>
      </x:c>
      <x:c r="C16" s="1" t="str">
        <x:v>ns3</x:v>
      </x:c>
      <x:c r="D16" s="1" t="str">
        <x:v>experiments/execution_43/experiment_3/config.json</x:v>
      </x:c>
      <x:c r="E16" s="1" t="str">
        <x:v>experiments/execution_43/experiment_3/results.json</x:v>
      </x:c>
      <x:c r="F16" s="1" t="str">
        <x:v>/home/dinos/ns-allinone-3.47/ns-3.47/experiments/execution_43/experiment_3</x:v>
      </x:c>
      <x:c r="G16" s="1" t="n">
        <x:v>100</x:v>
      </x:c>
      <x:c r="H16" s="1" t="n">
        <x:v>100.3605998</x:v>
      </x:c>
      <x:c r="I16" s="1" t="n">
        <x:v>10</x:v>
      </x:c>
      <x:c r="J16" s="1" t="n">
        <x:v>230</x:v>
      </x:c>
      <x:c r="K16" s="1" t="n">
        <x:v>100000000</x:v>
      </x:c>
      <x:c r="L16" s="1" t="n">
        <x:v>2</x:v>
      </x:c>
      <x:c r="M16" s="1" t="str">
        <x:v>DL|UL|UL|UL|</x:v>
      </x:c>
      <x:c r="N16" s="1" t="n">
        <x:v>1400</x:v>
      </x:c>
      <x:c r="O16" s="1" t="n">
        <x:v>1048576</x:v>
      </x:c>
      <x:c r="P16" s="1" t="n">
        <x:v>42</x:v>
      </x:c>
      <x:c r="Q16" s="1" t="n">
        <x:v>1</x:v>
      </x:c>
      <x:c r="R16" t="n">
        <x:v>234.597552</x:v>
      </x:c>
      <x:c r="S16" t="n">
        <x:v>229.9976</x:v>
      </x:c>
      <x:c r="T16" t="n">
        <x:v>4.111868419</x:v>
      </x:c>
      <x:c r="U16" t="n">
        <x:v>0.086655231</x:v>
      </x:c>
      <x:c r="V16" t="n">
        <x:v>0</x:v>
      </x:c>
      <x:c r="W16" t="n">
        <x:v>205355</x:v>
      </x:c>
      <x:c r="X16" t="n">
        <x:v>205355</x:v>
      </x:c>
      <x:c r="Y16" t="n">
        <x:v>293246940</x:v>
      </x:c>
      <x:c r="Z16" t="n">
        <x:v>0</x:v>
      </x:c>
      <x:c r="AA16" t="n">
        <x:v>43</x:v>
      </x:c>
      <x:c r="AB16" t="n">
        <x:v>2</x:v>
      </x:c>
    </x:row>
    <x:row r="17" ht="21" customHeight="1">
      <x:c r="A17" s="1" t="str">
        <x:v>load_240mbps_run_1</x:v>
      </x:c>
      <x:c r="B17" s="1" t="n">
        <x:v>43</x:v>
      </x:c>
      <x:c r="C17" s="1" t="str">
        <x:v>ns3</x:v>
      </x:c>
      <x:c r="D17" s="1" t="str">
        <x:v>experiments/execution_43/experiment_4/config.json</x:v>
      </x:c>
      <x:c r="E17" s="1" t="str">
        <x:v>experiments/execution_43/experiment_4/results.json</x:v>
      </x:c>
      <x:c r="F17" s="1" t="str">
        <x:v>/home/dinos/ns-allinone-3.47/ns-3.47/experiments/execution_43/experiment_4</x:v>
      </x:c>
      <x:c r="G17" s="1" t="n">
        <x:v>100</x:v>
      </x:c>
      <x:c r="H17" s="1" t="n">
        <x:v>100.3605998</x:v>
      </x:c>
      <x:c r="I17" s="1" t="n">
        <x:v>10</x:v>
      </x:c>
      <x:c r="J17" s="1" t="n">
        <x:v>240</x:v>
      </x:c>
      <x:c r="K17" s="1" t="n">
        <x:v>100000000</x:v>
      </x:c>
      <x:c r="L17" s="1" t="n">
        <x:v>2</x:v>
      </x:c>
      <x:c r="M17" s="1" t="str">
        <x:v>DL|UL|UL|UL|</x:v>
      </x:c>
      <x:c r="N17" s="1" t="n">
        <x:v>1400</x:v>
      </x:c>
      <x:c r="O17" s="1" t="n">
        <x:v>1048576</x:v>
      </x:c>
      <x:c r="P17" s="1" t="n">
        <x:v>42</x:v>
      </x:c>
      <x:c r="Q17" s="1" t="n">
        <x:v>1</x:v>
      </x:c>
      <x:c r="R17" t="n">
        <x:v>235.6851168</x:v>
      </x:c>
      <x:c r="S17" t="n">
        <x:v>231.06384</x:v>
      </x:c>
      <x:c r="T17" t="n">
        <x:v>36.31072604</x:v>
      </x:c>
      <x:c r="U17" t="n">
        <x:v>0.086673342</x:v>
      </x:c>
      <x:c r="V17" t="n">
        <x:v>0.037226298</x:v>
      </x:c>
      <x:c r="W17" t="n">
        <x:v>214284</x:v>
      </x:c>
      <x:c r="X17" t="n">
        <x:v>206307</x:v>
      </x:c>
      <x:c r="Y17" t="n">
        <x:v>294606396</x:v>
      </x:c>
      <x:c r="Z17" t="n">
        <x:v>7977</x:v>
      </x:c>
      <x:c r="AA17" t="n">
        <x:v>43</x:v>
      </x:c>
      <x:c r="AB17" t="n">
        <x:v>2</x:v>
      </x:c>
    </x:row>
    <x:row r="18" ht="21" customHeight="1">
      <x:c r="A18" s="1" t="str">
        <x:v>load_250mbps_run_1</x:v>
      </x:c>
      <x:c r="B18" s="1" t="n">
        <x:v>43</x:v>
      </x:c>
      <x:c r="C18" s="1" t="str">
        <x:v>ns3</x:v>
      </x:c>
      <x:c r="D18" s="1" t="str">
        <x:v>experiments/execution_43/experiment_5/config.json</x:v>
      </x:c>
      <x:c r="E18" s="1" t="str">
        <x:v>experiments/execution_43/experiment_5/results.json</x:v>
      </x:c>
      <x:c r="F18" s="1" t="str">
        <x:v>/home/dinos/ns-allinone-3.47/ns-3.47/experiments/execution_43/experiment_5</x:v>
      </x:c>
      <x:c r="G18" s="1" t="n">
        <x:v>100</x:v>
      </x:c>
      <x:c r="H18" s="1" t="n">
        <x:v>100.3605998</x:v>
      </x:c>
      <x:c r="I18" s="1" t="n">
        <x:v>10</x:v>
      </x:c>
      <x:c r="J18" s="1" t="n">
        <x:v>250</x:v>
      </x:c>
      <x:c r="K18" s="1" t="n">
        <x:v>100000000</x:v>
      </x:c>
      <x:c r="L18" s="1" t="n">
        <x:v>2</x:v>
      </x:c>
      <x:c r="M18" s="1" t="str">
        <x:v>DL|UL|UL|UL|</x:v>
      </x:c>
      <x:c r="N18" s="1" t="n">
        <x:v>1400</x:v>
      </x:c>
      <x:c r="O18" s="1" t="n">
        <x:v>1048576</x:v>
      </x:c>
      <x:c r="P18" s="1" t="n">
        <x:v>42</x:v>
      </x:c>
      <x:c r="Q18" s="1" t="n">
        <x:v>1</x:v>
      </x:c>
      <x:c r="R18" t="n">
        <x:v>235.6851168</x:v>
      </x:c>
      <x:c r="S18" t="n">
        <x:v>231.06384</x:v>
      </x:c>
      <x:c r="T18" t="n">
        <x:v>36.93447564</x:v>
      </x:c>
      <x:c r="U18" t="n">
        <x:v>0.087021471</x:v>
      </x:c>
      <x:c r="V18" t="n">
        <x:v>0.075743457</x:v>
      </x:c>
      <x:c r="W18" t="n">
        <x:v>223214</x:v>
      </x:c>
      <x:c r="X18" t="n">
        <x:v>206307</x:v>
      </x:c>
      <x:c r="Y18" t="n">
        <x:v>294606396</x:v>
      </x:c>
      <x:c r="Z18" t="n">
        <x:v>16907</x:v>
      </x:c>
      <x:c r="AA18" t="n">
        <x:v>43</x:v>
      </x:c>
      <x:c r="AB18" t="n">
        <x:v>2</x:v>
      </x:c>
    </x:row>
    <x:row r="19" ht="21" customHeight="1">
      <x:c r="A19" s="1" t="str">
        <x:v>load_210mbps_run_2</x:v>
      </x:c>
      <x:c r="B19" s="1" t="n">
        <x:v>44</x:v>
      </x:c>
      <x:c r="C19" s="1" t="str">
        <x:v>ns3</x:v>
      </x:c>
      <x:c r="D19" s="1" t="str">
        <x:v>experiments/execution_44/experiment_1/config.json</x:v>
      </x:c>
      <x:c r="E19" s="1" t="str">
        <x:v>experiments/execution_44/experiment_1/results.json</x:v>
      </x:c>
      <x:c r="F19" s="1" t="str">
        <x:v>/home/dinos/ns-allinone-3.47/ns-3.47/experiments/execution_44/experiment_1</x:v>
      </x:c>
      <x:c r="G19" s="1" t="n">
        <x:v>100</x:v>
      </x:c>
      <x:c r="H19" s="1" t="n">
        <x:v>100.3605998</x:v>
      </x:c>
      <x:c r="I19" s="1" t="n">
        <x:v>10</x:v>
      </x:c>
      <x:c r="J19" s="1" t="n">
        <x:v>210</x:v>
      </x:c>
      <x:c r="K19" s="1" t="n">
        <x:v>100000000</x:v>
      </x:c>
      <x:c r="L19" s="1" t="n">
        <x:v>2</x:v>
      </x:c>
      <x:c r="M19" s="1" t="str">
        <x:v>DL|UL|UL|UL|</x:v>
      </x:c>
      <x:c r="N19" s="1" t="n">
        <x:v>1400</x:v>
      </x:c>
      <x:c r="O19" s="1" t="n">
        <x:v>1048576</x:v>
      </x:c>
      <x:c r="P19" s="1" t="n">
        <x:v>42</x:v>
      </x:c>
      <x:c r="Q19" s="1" t="n">
        <x:v>2</x:v>
      </x:c>
      <x:c r="R19" t="n">
        <x:v>214.2011424</x:v>
      </x:c>
      <x:c r="S19" t="n">
        <x:v>210.00112</x:v>
      </x:c>
      <x:c r="T19" t="n">
        <x:v>3.66324002</x:v>
      </x:c>
      <x:c r="U19" t="n">
        <x:v>0.094451686</x:v>
      </x:c>
      <x:c r="V19" t="n">
        <x:v>0</x:v>
      </x:c>
      <x:c r="W19" t="n">
        <x:v>187501</x:v>
      </x:c>
      <x:c r="X19" t="n">
        <x:v>187501</x:v>
      </x:c>
      <x:c r="Y19" t="n">
        <x:v>267751428</x:v>
      </x:c>
      <x:c r="Z19" t="n">
        <x:v>0</x:v>
      </x:c>
      <x:c r="AA19" t="n">
        <x:v>44</x:v>
      </x:c>
      <x:c r="AB19" t="n">
        <x:v>2</x:v>
      </x:c>
    </x:row>
    <x:row r="20" ht="21" customHeight="1">
      <x:c r="A20" s="1" t="str">
        <x:v>load_220mbps_run_2</x:v>
      </x:c>
      <x:c r="B20" s="1" t="n">
        <x:v>44</x:v>
      </x:c>
      <x:c r="C20" s="1" t="str">
        <x:v>ns3</x:v>
      </x:c>
      <x:c r="D20" s="1" t="str">
        <x:v>experiments/execution_44/experiment_2/config.json</x:v>
      </x:c>
      <x:c r="E20" s="1" t="str">
        <x:v>experiments/execution_44/experiment_2/results.json</x:v>
      </x:c>
      <x:c r="F20" s="1" t="str">
        <x:v>/home/dinos/ns-allinone-3.47/ns-3.47/experiments/execution_44/experiment_2</x:v>
      </x:c>
      <x:c r="G20" s="1" t="n">
        <x:v>100</x:v>
      </x:c>
      <x:c r="H20" s="1" t="n">
        <x:v>100.3605998</x:v>
      </x:c>
      <x:c r="I20" s="1" t="n">
        <x:v>10</x:v>
      </x:c>
      <x:c r="J20" s="1" t="n">
        <x:v>220</x:v>
      </x:c>
      <x:c r="K20" s="1" t="n">
        <x:v>100000000</x:v>
      </x:c>
      <x:c r="L20" s="1" t="n">
        <x:v>2</x:v>
      </x:c>
      <x:c r="M20" s="1" t="str">
        <x:v>DL|UL|UL|UL|</x:v>
      </x:c>
      <x:c r="N20" s="1" t="n">
        <x:v>1400</x:v>
      </x:c>
      <x:c r="O20" s="1" t="n">
        <x:v>1048576</x:v>
      </x:c>
      <x:c r="P20" s="1" t="n">
        <x:v>42</x:v>
      </x:c>
      <x:c r="Q20" s="1" t="n">
        <x:v>2</x:v>
      </x:c>
      <x:c r="R20" t="n">
        <x:v>224.3993472</x:v>
      </x:c>
      <x:c r="S20" t="n">
        <x:v>219.99936</x:v>
      </x:c>
      <x:c r="T20" t="n">
        <x:v>3.729188762</x:v>
      </x:c>
      <x:c r="U20" t="n">
        <x:v>0.090390746</x:v>
      </x:c>
      <x:c r="V20" t="n">
        <x:v>0</x:v>
      </x:c>
      <x:c r="W20" t="n">
        <x:v>196428</x:v>
      </x:c>
      <x:c r="X20" t="n">
        <x:v>196428</x:v>
      </x:c>
      <x:c r="Y20" t="n">
        <x:v>280499184</x:v>
      </x:c>
      <x:c r="Z20" t="n">
        <x:v>0</x:v>
      </x:c>
      <x:c r="AA20" t="n">
        <x:v>44</x:v>
      </x:c>
      <x:c r="AB20" t="n">
        <x:v>2</x:v>
      </x:c>
    </x:row>
    <x:row r="21" ht="21" customHeight="1">
      <x:c r="A21" s="1" t="str">
        <x:v>load_230mbps_run_2</x:v>
      </x:c>
      <x:c r="B21" s="1" t="n">
        <x:v>44</x:v>
      </x:c>
      <x:c r="C21" s="1" t="str">
        <x:v>ns3</x:v>
      </x:c>
      <x:c r="D21" s="1" t="str">
        <x:v>experiments/execution_44/experiment_3/config.json</x:v>
      </x:c>
      <x:c r="E21" s="1" t="str">
        <x:v>experiments/execution_44/experiment_3/results.json</x:v>
      </x:c>
      <x:c r="F21" s="1" t="str">
        <x:v>/home/dinos/ns-allinone-3.47/ns-3.47/experiments/execution_44/experiment_3</x:v>
      </x:c>
      <x:c r="G21" s="1" t="n">
        <x:v>100</x:v>
      </x:c>
      <x:c r="H21" s="1" t="n">
        <x:v>100.3605998</x:v>
      </x:c>
      <x:c r="I21" s="1" t="n">
        <x:v>10</x:v>
      </x:c>
      <x:c r="J21" s="1" t="n">
        <x:v>230</x:v>
      </x:c>
      <x:c r="K21" s="1" t="n">
        <x:v>100000000</x:v>
      </x:c>
      <x:c r="L21" s="1" t="n">
        <x:v>2</x:v>
      </x:c>
      <x:c r="M21" s="1" t="str">
        <x:v>DL|UL|UL|UL|</x:v>
      </x:c>
      <x:c r="N21" s="1" t="n">
        <x:v>1400</x:v>
      </x:c>
      <x:c r="O21" s="1" t="n">
        <x:v>1048576</x:v>
      </x:c>
      <x:c r="P21" s="1" t="n">
        <x:v>42</x:v>
      </x:c>
      <x:c r="Q21" s="1" t="n">
        <x:v>2</x:v>
      </x:c>
      <x:c r="R21" t="n">
        <x:v>234.597552</x:v>
      </x:c>
      <x:c r="S21" t="n">
        <x:v>229.9976</x:v>
      </x:c>
      <x:c r="T21" t="n">
        <x:v>4.124623722</x:v>
      </x:c>
      <x:c r="U21" t="n">
        <x:v>0.086559624</x:v>
      </x:c>
      <x:c r="V21" t="n">
        <x:v>0</x:v>
      </x:c>
      <x:c r="W21" t="n">
        <x:v>205355</x:v>
      </x:c>
      <x:c r="X21" t="n">
        <x:v>205355</x:v>
      </x:c>
      <x:c r="Y21" t="n">
        <x:v>293246940</x:v>
      </x:c>
      <x:c r="Z21" t="n">
        <x:v>0</x:v>
      </x:c>
      <x:c r="AA21" t="n">
        <x:v>44</x:v>
      </x:c>
      <x:c r="AB21" t="n">
        <x:v>2</x:v>
      </x:c>
    </x:row>
    <x:row r="22" ht="21" customHeight="1">
      <x:c r="A22" s="1" t="str">
        <x:v>load_240mbps_run_2</x:v>
      </x:c>
      <x:c r="B22" s="1" t="n">
        <x:v>44</x:v>
      </x:c>
      <x:c r="C22" s="1" t="str">
        <x:v>ns3</x:v>
      </x:c>
      <x:c r="D22" s="1" t="str">
        <x:v>experiments/execution_44/experiment_4/config.json</x:v>
      </x:c>
      <x:c r="E22" s="1" t="str">
        <x:v>experiments/execution_44/experiment_4/results.json</x:v>
      </x:c>
      <x:c r="F22" s="1" t="str">
        <x:v>/home/dinos/ns-allinone-3.47/ns-3.47/experiments/execution_44/experiment_4</x:v>
      </x:c>
      <x:c r="G22" s="1" t="n">
        <x:v>100</x:v>
      </x:c>
      <x:c r="H22" s="1" t="n">
        <x:v>100.3605998</x:v>
      </x:c>
      <x:c r="I22" s="1" t="n">
        <x:v>10</x:v>
      </x:c>
      <x:c r="J22" s="1" t="n">
        <x:v>240</x:v>
      </x:c>
      <x:c r="K22" s="1" t="n">
        <x:v>100000000</x:v>
      </x:c>
      <x:c r="L22" s="1" t="n">
        <x:v>2</x:v>
      </x:c>
      <x:c r="M22" s="1" t="str">
        <x:v>DL|UL|UL|UL|</x:v>
      </x:c>
      <x:c r="N22" s="1" t="n">
        <x:v>1400</x:v>
      </x:c>
      <x:c r="O22" s="1" t="n">
        <x:v>1048576</x:v>
      </x:c>
      <x:c r="P22" s="1" t="n">
        <x:v>42</x:v>
      </x:c>
      <x:c r="Q22" s="1" t="n">
        <x:v>2</x:v>
      </x:c>
      <x:c r="R22" t="n">
        <x:v>235.6851168</x:v>
      </x:c>
      <x:c r="S22" t="n">
        <x:v>231.06384</x:v>
      </x:c>
      <x:c r="T22" t="n">
        <x:v>36.32447135</x:v>
      </x:c>
      <x:c r="U22" t="n">
        <x:v>0.08676966</x:v>
      </x:c>
      <x:c r="V22" t="n">
        <x:v>0.037226298</x:v>
      </x:c>
      <x:c r="W22" t="n">
        <x:v>214284</x:v>
      </x:c>
      <x:c r="X22" t="n">
        <x:v>206307</x:v>
      </x:c>
      <x:c r="Y22" t="n">
        <x:v>294606396</x:v>
      </x:c>
      <x:c r="Z22" t="n">
        <x:v>7977</x:v>
      </x:c>
      <x:c r="AA22" t="n">
        <x:v>44</x:v>
      </x:c>
      <x:c r="AB22" t="n">
        <x:v>2</x:v>
      </x:c>
    </x:row>
    <x:row r="23" ht="21" customHeight="1">
      <x:c r="A23" s="1" t="str">
        <x:v>load_250mbps_run_2</x:v>
      </x:c>
      <x:c r="B23" s="1" t="n">
        <x:v>44</x:v>
      </x:c>
      <x:c r="C23" s="1" t="str">
        <x:v>ns3</x:v>
      </x:c>
      <x:c r="D23" s="1" t="str">
        <x:v>experiments/execution_44/experiment_5/config.json</x:v>
      </x:c>
      <x:c r="E23" s="1" t="str">
        <x:v>experiments/execution_44/experiment_5/results.json</x:v>
      </x:c>
      <x:c r="F23" s="1" t="str">
        <x:v>/home/dinos/ns-allinone-3.47/ns-3.47/experiments/execution_44/experiment_5</x:v>
      </x:c>
      <x:c r="G23" s="1" t="n">
        <x:v>100</x:v>
      </x:c>
      <x:c r="H23" s="1" t="n">
        <x:v>100.3605998</x:v>
      </x:c>
      <x:c r="I23" s="1" t="n">
        <x:v>10</x:v>
      </x:c>
      <x:c r="J23" s="1" t="n">
        <x:v>250</x:v>
      </x:c>
      <x:c r="K23" s="1" t="n">
        <x:v>100000000</x:v>
      </x:c>
      <x:c r="L23" s="1" t="n">
        <x:v>2</x:v>
      </x:c>
      <x:c r="M23" s="1" t="str">
        <x:v>DL|UL|UL|UL|</x:v>
      </x:c>
      <x:c r="N23" s="1" t="n">
        <x:v>1400</x:v>
      </x:c>
      <x:c r="O23" s="1" t="n">
        <x:v>1048576</x:v>
      </x:c>
      <x:c r="P23" s="1" t="n">
        <x:v>42</x:v>
      </x:c>
      <x:c r="Q23" s="1" t="n">
        <x:v>2</x:v>
      </x:c>
      <x:c r="R23" t="n">
        <x:v>235.6851168</x:v>
      </x:c>
      <x:c r="S23" t="n">
        <x:v>231.06384</x:v>
      </x:c>
      <x:c r="T23" t="n">
        <x:v>36.93728069</x:v>
      </x:c>
      <x:c r="U23" t="n">
        <x:v>0.086993982</x:v>
      </x:c>
      <x:c r="V23" t="n">
        <x:v>0.075743457</x:v>
      </x:c>
      <x:c r="W23" t="n">
        <x:v>223214</x:v>
      </x:c>
      <x:c r="X23" t="n">
        <x:v>206307</x:v>
      </x:c>
      <x:c r="Y23" t="n">
        <x:v>294606396</x:v>
      </x:c>
      <x:c r="Z23" t="n">
        <x:v>16907</x:v>
      </x:c>
      <x:c r="AA23" t="n">
        <x:v>44</x:v>
      </x:c>
      <x:c r="AB23" t="n">
        <x:v>2</x:v>
      </x:c>
    </x:row>
    <x:row r="24" ht="21" customHeight="1">
      <x:c r="A24" s="1" t="str">
        <x:v>load_210mbps_run_3</x:v>
      </x:c>
      <x:c r="B24" s="1" t="n">
        <x:v>45</x:v>
      </x:c>
      <x:c r="C24" s="1" t="str">
        <x:v>ns3</x:v>
      </x:c>
      <x:c r="D24" s="1" t="str">
        <x:v>experiments/execution_45/experiment_1/config.json</x:v>
      </x:c>
      <x:c r="E24" s="1" t="str">
        <x:v>experiments/execution_45/experiment_1/results.json</x:v>
      </x:c>
      <x:c r="F24" s="1" t="str">
        <x:v>/home/dinos/ns-allinone-3.47/ns-3.47/experiments/execution_45/experiment_1</x:v>
      </x:c>
      <x:c r="G24" s="1" t="n">
        <x:v>100</x:v>
      </x:c>
      <x:c r="H24" s="1" t="n">
        <x:v>100.3605998</x:v>
      </x:c>
      <x:c r="I24" s="1" t="n">
        <x:v>10</x:v>
      </x:c>
      <x:c r="J24" s="1" t="n">
        <x:v>210</x:v>
      </x:c>
      <x:c r="K24" s="1" t="n">
        <x:v>100000000</x:v>
      </x:c>
      <x:c r="L24" s="1" t="n">
        <x:v>2</x:v>
      </x:c>
      <x:c r="M24" s="1" t="str">
        <x:v>DL|UL|UL|UL|</x:v>
      </x:c>
      <x:c r="N24" s="1" t="n">
        <x:v>1400</x:v>
      </x:c>
      <x:c r="O24" s="1" t="n">
        <x:v>1048576</x:v>
      </x:c>
      <x:c r="P24" s="1" t="n">
        <x:v>42</x:v>
      </x:c>
      <x:c r="Q24" s="1" t="n">
        <x:v>3</x:v>
      </x:c>
      <x:c r="R24" t="n">
        <x:v>214.2011424</x:v>
      </x:c>
      <x:c r="S24" t="n">
        <x:v>210.00112</x:v>
      </x:c>
      <x:c r="T24" t="n">
        <x:v>3.660044798</x:v>
      </x:c>
      <x:c r="U24" t="n">
        <x:v>0.094467583</x:v>
      </x:c>
      <x:c r="V24" t="n">
        <x:v>0</x:v>
      </x:c>
      <x:c r="W24" t="n">
        <x:v>187501</x:v>
      </x:c>
      <x:c r="X24" t="n">
        <x:v>187501</x:v>
      </x:c>
      <x:c r="Y24" t="n">
        <x:v>267751428</x:v>
      </x:c>
      <x:c r="Z24" t="n">
        <x:v>0</x:v>
      </x:c>
      <x:c r="AA24" t="n">
        <x:v>45</x:v>
      </x:c>
      <x:c r="AB24" t="n">
        <x:v>2</x:v>
      </x:c>
    </x:row>
    <x:row r="25" ht="21" customHeight="1">
      <x:c r="A25" s="1" t="str">
        <x:v>load_220mbps_run_3</x:v>
      </x:c>
      <x:c r="B25" s="1" t="n">
        <x:v>45</x:v>
      </x:c>
      <x:c r="C25" s="1" t="str">
        <x:v>ns3</x:v>
      </x:c>
      <x:c r="D25" s="1" t="str">
        <x:v>experiments/execution_45/experiment_2/config.json</x:v>
      </x:c>
      <x:c r="E25" s="1" t="str">
        <x:v>experiments/execution_45/experiment_2/results.json</x:v>
      </x:c>
      <x:c r="F25" s="1" t="str">
        <x:v>/home/dinos/ns-allinone-3.47/ns-3.47/experiments/execution_45/experiment_2</x:v>
      </x:c>
      <x:c r="G25" s="1" t="n">
        <x:v>100</x:v>
      </x:c>
      <x:c r="H25" s="1" t="n">
        <x:v>100.3605998</x:v>
      </x:c>
      <x:c r="I25" s="1" t="n">
        <x:v>10</x:v>
      </x:c>
      <x:c r="J25" s="1" t="n">
        <x:v>220</x:v>
      </x:c>
      <x:c r="K25" s="1" t="n">
        <x:v>100000000</x:v>
      </x:c>
      <x:c r="L25" s="1" t="n">
        <x:v>2</x:v>
      </x:c>
      <x:c r="M25" s="1" t="str">
        <x:v>DL|UL|UL|UL|</x:v>
      </x:c>
      <x:c r="N25" s="1" t="n">
        <x:v>1400</x:v>
      </x:c>
      <x:c r="O25" s="1" t="n">
        <x:v>1048576</x:v>
      </x:c>
      <x:c r="P25" s="1" t="n">
        <x:v>42</x:v>
      </x:c>
      <x:c r="Q25" s="1" t="n">
        <x:v>3</x:v>
      </x:c>
      <x:c r="R25" t="n">
        <x:v>224.3993472</x:v>
      </x:c>
      <x:c r="S25" t="n">
        <x:v>219.99936</x:v>
      </x:c>
      <x:c r="T25" t="n">
        <x:v>3.728729979</x:v>
      </x:c>
      <x:c r="U25" t="n">
        <x:v>0.090336489</x:v>
      </x:c>
      <x:c r="V25" t="n">
        <x:v>0</x:v>
      </x:c>
      <x:c r="W25" t="n">
        <x:v>196428</x:v>
      </x:c>
      <x:c r="X25" t="n">
        <x:v>196428</x:v>
      </x:c>
      <x:c r="Y25" t="n">
        <x:v>280499184</x:v>
      </x:c>
      <x:c r="Z25" t="n">
        <x:v>0</x:v>
      </x:c>
      <x:c r="AA25" t="n">
        <x:v>45</x:v>
      </x:c>
      <x:c r="AB25" t="n">
        <x:v>2</x:v>
      </x:c>
    </x:row>
    <x:row r="26" ht="21" customHeight="1">
      <x:c r="A26" s="1" t="str">
        <x:v>load_230mbps_run_3</x:v>
      </x:c>
      <x:c r="B26" s="1" t="n">
        <x:v>45</x:v>
      </x:c>
      <x:c r="C26" s="1" t="str">
        <x:v>ns3</x:v>
      </x:c>
      <x:c r="D26" s="1" t="str">
        <x:v>experiments/execution_45/experiment_3/config.json</x:v>
      </x:c>
      <x:c r="E26" s="1" t="str">
        <x:v>experiments/execution_45/experiment_3/results.json</x:v>
      </x:c>
      <x:c r="F26" s="1" t="str">
        <x:v>/home/dinos/ns-allinone-3.47/ns-3.47/experiments/execution_45/experiment_3</x:v>
      </x:c>
      <x:c r="G26" s="1" t="n">
        <x:v>100</x:v>
      </x:c>
      <x:c r="H26" s="1" t="n">
        <x:v>100.3605998</x:v>
      </x:c>
      <x:c r="I26" s="1" t="n">
        <x:v>10</x:v>
      </x:c>
      <x:c r="J26" s="1" t="n">
        <x:v>230</x:v>
      </x:c>
      <x:c r="K26" s="1" t="n">
        <x:v>100000000</x:v>
      </x:c>
      <x:c r="L26" s="1" t="n">
        <x:v>2</x:v>
      </x:c>
      <x:c r="M26" s="1" t="str">
        <x:v>DL|UL|UL|UL|</x:v>
      </x:c>
      <x:c r="N26" s="1" t="n">
        <x:v>1400</x:v>
      </x:c>
      <x:c r="O26" s="1" t="n">
        <x:v>1048576</x:v>
      </x:c>
      <x:c r="P26" s="1" t="n">
        <x:v>42</x:v>
      </x:c>
      <x:c r="Q26" s="1" t="n">
        <x:v>3</x:v>
      </x:c>
      <x:c r="R26" t="n">
        <x:v>234.597552</x:v>
      </x:c>
      <x:c r="S26" t="n">
        <x:v>229.9976</x:v>
      </x:c>
      <x:c r="T26" t="n">
        <x:v>4.095687437</x:v>
      </x:c>
      <x:c r="U26" t="n">
        <x:v>0.086651959</x:v>
      </x:c>
      <x:c r="V26" t="n">
        <x:v>0</x:v>
      </x:c>
      <x:c r="W26" t="n">
        <x:v>205355</x:v>
      </x:c>
      <x:c r="X26" t="n">
        <x:v>205355</x:v>
      </x:c>
      <x:c r="Y26" t="n">
        <x:v>293246940</x:v>
      </x:c>
      <x:c r="Z26" t="n">
        <x:v>0</x:v>
      </x:c>
      <x:c r="AA26" t="n">
        <x:v>45</x:v>
      </x:c>
      <x:c r="AB26" t="n">
        <x:v>2</x:v>
      </x:c>
    </x:row>
    <x:row r="27" ht="21" customHeight="1">
      <x:c r="A27" s="1" t="str">
        <x:v>load_240mbps_run_3</x:v>
      </x:c>
      <x:c r="B27" s="1" t="n">
        <x:v>45</x:v>
      </x:c>
      <x:c r="C27" s="1" t="str">
        <x:v>ns3</x:v>
      </x:c>
      <x:c r="D27" s="1" t="str">
        <x:v>experiments/execution_45/experiment_4/config.json</x:v>
      </x:c>
      <x:c r="E27" s="1" t="str">
        <x:v>experiments/execution_45/experiment_4/results.json</x:v>
      </x:c>
      <x:c r="F27" s="1" t="str">
        <x:v>/home/dinos/ns-allinone-3.47/ns-3.47/experiments/execution_45/experiment_4</x:v>
      </x:c>
      <x:c r="G27" s="1" t="n">
        <x:v>100</x:v>
      </x:c>
      <x:c r="H27" s="1" t="n">
        <x:v>100.3605998</x:v>
      </x:c>
      <x:c r="I27" s="1" t="n">
        <x:v>10</x:v>
      </x:c>
      <x:c r="J27" s="1" t="n">
        <x:v>240</x:v>
      </x:c>
      <x:c r="K27" s="1" t="n">
        <x:v>100000000</x:v>
      </x:c>
      <x:c r="L27" s="1" t="n">
        <x:v>2</x:v>
      </x:c>
      <x:c r="M27" s="1" t="str">
        <x:v>DL|UL|UL|UL|</x:v>
      </x:c>
      <x:c r="N27" s="1" t="n">
        <x:v>1400</x:v>
      </x:c>
      <x:c r="O27" s="1" t="n">
        <x:v>1048576</x:v>
      </x:c>
      <x:c r="P27" s="1" t="n">
        <x:v>42</x:v>
      </x:c>
      <x:c r="Q27" s="1" t="n">
        <x:v>3</x:v>
      </x:c>
      <x:c r="R27" t="n">
        <x:v>235.6851168</x:v>
      </x:c>
      <x:c r="S27" t="n">
        <x:v>231.06384</x:v>
      </x:c>
      <x:c r="T27" t="n">
        <x:v>36.29872393</x:v>
      </x:c>
      <x:c r="U27" t="n">
        <x:v>0.086659923</x:v>
      </x:c>
      <x:c r="V27" t="n">
        <x:v>0.037226298</x:v>
      </x:c>
      <x:c r="W27" t="n">
        <x:v>214284</x:v>
      </x:c>
      <x:c r="X27" t="n">
        <x:v>206307</x:v>
      </x:c>
      <x:c r="Y27" t="n">
        <x:v>294606396</x:v>
      </x:c>
      <x:c r="Z27" t="n">
        <x:v>7977</x:v>
      </x:c>
      <x:c r="AA27" t="n">
        <x:v>45</x:v>
      </x:c>
      <x:c r="AB27" t="n">
        <x:v>2</x:v>
      </x:c>
    </x:row>
    <x:row r="28" ht="21" customHeight="1">
      <x:c r="A28" s="1" t="str">
        <x:v>load_250mbps_run_3</x:v>
      </x:c>
      <x:c r="B28" s="1" t="n">
        <x:v>45</x:v>
      </x:c>
      <x:c r="C28" s="1" t="str">
        <x:v>ns3</x:v>
      </x:c>
      <x:c r="D28" s="1" t="str">
        <x:v>experiments/execution_45/experiment_5/config.json</x:v>
      </x:c>
      <x:c r="E28" s="1" t="str">
        <x:v>experiments/execution_45/experiment_5/results.json</x:v>
      </x:c>
      <x:c r="F28" s="1" t="str">
        <x:v>/home/dinos/ns-allinone-3.47/ns-3.47/experiments/execution_45/experiment_5</x:v>
      </x:c>
      <x:c r="G28" s="1" t="n">
        <x:v>100</x:v>
      </x:c>
      <x:c r="H28" s="1" t="n">
        <x:v>100.3605998</x:v>
      </x:c>
      <x:c r="I28" s="1" t="n">
        <x:v>10</x:v>
      </x:c>
      <x:c r="J28" s="1" t="n">
        <x:v>250</x:v>
      </x:c>
      <x:c r="K28" s="1" t="n">
        <x:v>100000000</x:v>
      </x:c>
      <x:c r="L28" s="1" t="n">
        <x:v>2</x:v>
      </x:c>
      <x:c r="M28" s="1" t="str">
        <x:v>DL|UL|UL|UL|</x:v>
      </x:c>
      <x:c r="N28" s="1" t="n">
        <x:v>1400</x:v>
      </x:c>
      <x:c r="O28" s="1" t="n">
        <x:v>1048576</x:v>
      </x:c>
      <x:c r="P28" s="1" t="n">
        <x:v>42</x:v>
      </x:c>
      <x:c r="Q28" s="1" t="n">
        <x:v>3</x:v>
      </x:c>
      <x:c r="R28" t="n">
        <x:v>235.6851168</x:v>
      </x:c>
      <x:c r="S28" t="n">
        <x:v>231.06384</x:v>
      </x:c>
      <x:c r="T28" t="n">
        <x:v>36.92968554</x:v>
      </x:c>
      <x:c r="U28" t="n">
        <x:v>0.087025986</x:v>
      </x:c>
      <x:c r="V28" t="n">
        <x:v>0.075743457</x:v>
      </x:c>
      <x:c r="W28" t="n">
        <x:v>223214</x:v>
      </x:c>
      <x:c r="X28" t="n">
        <x:v>206307</x:v>
      </x:c>
      <x:c r="Y28" t="n">
        <x:v>294606396</x:v>
      </x:c>
      <x:c r="Z28" t="n">
        <x:v>16907</x:v>
      </x:c>
      <x:c r="AA28" t="n">
        <x:v>45</x:v>
      </x:c>
      <x:c r="AB28" t="n">
        <x:v>2</x:v>
      </x:c>
    </x:row>
    <x:row r="29" ht="21" customHeight="1">
      <x:c r="A29" s="1" t="str">
        <x:v>load_210mbps_run_4</x:v>
      </x:c>
      <x:c r="B29" s="1" t="n">
        <x:v>46</x:v>
      </x:c>
      <x:c r="C29" s="1" t="str">
        <x:v>ns3</x:v>
      </x:c>
      <x:c r="D29" s="1" t="str">
        <x:v>experiments/execution_46/experiment_1/config.json</x:v>
      </x:c>
      <x:c r="E29" s="1" t="str">
        <x:v>experiments/execution_46/experiment_1/results.json</x:v>
      </x:c>
      <x:c r="F29" s="1" t="str">
        <x:v>/home/dinos/ns-allinone-3.47/ns-3.47/experiments/execution_46/experiment_1</x:v>
      </x:c>
      <x:c r="G29" s="1" t="n">
        <x:v>100</x:v>
      </x:c>
      <x:c r="H29" s="1" t="n">
        <x:v>100.3605998</x:v>
      </x:c>
      <x:c r="I29" s="1" t="n">
        <x:v>10</x:v>
      </x:c>
      <x:c r="J29" s="1" t="n">
        <x:v>210</x:v>
      </x:c>
      <x:c r="K29" s="1" t="n">
        <x:v>100000000</x:v>
      </x:c>
      <x:c r="L29" s="1" t="n">
        <x:v>2</x:v>
      </x:c>
      <x:c r="M29" s="1" t="str">
        <x:v>DL|UL|UL|UL|</x:v>
      </x:c>
      <x:c r="N29" s="1" t="n">
        <x:v>1400</x:v>
      </x:c>
      <x:c r="O29" s="1" t="n">
        <x:v>1048576</x:v>
      </x:c>
      <x:c r="P29" s="1" t="n">
        <x:v>42</x:v>
      </x:c>
      <x:c r="Q29" s="1" t="n">
        <x:v>4</x:v>
      </x:c>
      <x:c r="R29" t="n">
        <x:v>214.2011424</x:v>
      </x:c>
      <x:c r="S29" t="n">
        <x:v>210.00112</x:v>
      </x:c>
      <x:c r="T29" t="n">
        <x:v>3.666631701</x:v>
      </x:c>
      <x:c r="U29" t="n">
        <x:v>0.094496401</x:v>
      </x:c>
      <x:c r="V29" t="n">
        <x:v>0</x:v>
      </x:c>
      <x:c r="W29" t="n">
        <x:v>187501</x:v>
      </x:c>
      <x:c r="X29" t="n">
        <x:v>187501</x:v>
      </x:c>
      <x:c r="Y29" t="n">
        <x:v>267751428</x:v>
      </x:c>
      <x:c r="Z29" t="n">
        <x:v>0</x:v>
      </x:c>
      <x:c r="AA29" t="n">
        <x:v>46</x:v>
      </x:c>
      <x:c r="AB29" t="n">
        <x:v>2</x:v>
      </x:c>
    </x:row>
    <x:row r="30" ht="21" customHeight="1">
      <x:c r="A30" s="1" t="str">
        <x:v>load_220mbps_run_4</x:v>
      </x:c>
      <x:c r="B30" s="1" t="n">
        <x:v>46</x:v>
      </x:c>
      <x:c r="C30" s="1" t="str">
        <x:v>ns3</x:v>
      </x:c>
      <x:c r="D30" s="1" t="str">
        <x:v>experiments/execution_46/experiment_2/config.json</x:v>
      </x:c>
      <x:c r="E30" s="1" t="str">
        <x:v>experiments/execution_46/experiment_2/results.json</x:v>
      </x:c>
      <x:c r="F30" s="1" t="str">
        <x:v>/home/dinos/ns-allinone-3.47/ns-3.47/experiments/execution_46/experiment_2</x:v>
      </x:c>
      <x:c r="G30" s="1" t="n">
        <x:v>100</x:v>
      </x:c>
      <x:c r="H30" s="1" t="n">
        <x:v>100.3605998</x:v>
      </x:c>
      <x:c r="I30" s="1" t="n">
        <x:v>10</x:v>
      </x:c>
      <x:c r="J30" s="1" t="n">
        <x:v>220</x:v>
      </x:c>
      <x:c r="K30" s="1" t="n">
        <x:v>100000000</x:v>
      </x:c>
      <x:c r="L30" s="1" t="n">
        <x:v>2</x:v>
      </x:c>
      <x:c r="M30" s="1" t="str">
        <x:v>DL|UL|UL|UL|</x:v>
      </x:c>
      <x:c r="N30" s="1" t="n">
        <x:v>1400</x:v>
      </x:c>
      <x:c r="O30" s="1" t="n">
        <x:v>1048576</x:v>
      </x:c>
      <x:c r="P30" s="1" t="n">
        <x:v>42</x:v>
      </x:c>
      <x:c r="Q30" s="1" t="n">
        <x:v>4</x:v>
      </x:c>
      <x:c r="R30" t="n">
        <x:v>224.3993472</x:v>
      </x:c>
      <x:c r="S30" t="n">
        <x:v>219.99936</x:v>
      </x:c>
      <x:c r="T30" t="n">
        <x:v>3.730425475</x:v>
      </x:c>
      <x:c r="U30" t="n">
        <x:v>0.090259759</x:v>
      </x:c>
      <x:c r="V30" t="n">
        <x:v>0</x:v>
      </x:c>
      <x:c r="W30" t="n">
        <x:v>196428</x:v>
      </x:c>
      <x:c r="X30" t="n">
        <x:v>196428</x:v>
      </x:c>
      <x:c r="Y30" t="n">
        <x:v>280499184</x:v>
      </x:c>
      <x:c r="Z30" t="n">
        <x:v>0</x:v>
      </x:c>
      <x:c r="AA30" t="n">
        <x:v>46</x:v>
      </x:c>
      <x:c r="AB30" t="n">
        <x:v>2</x:v>
      </x:c>
    </x:row>
    <x:row r="31" ht="21" customHeight="1">
      <x:c r="A31" s="1" t="str">
        <x:v>load_230mbps_run_4</x:v>
      </x:c>
      <x:c r="B31" s="1" t="n">
        <x:v>46</x:v>
      </x:c>
      <x:c r="C31" s="1" t="str">
        <x:v>ns3</x:v>
      </x:c>
      <x:c r="D31" s="1" t="str">
        <x:v>experiments/execution_46/experiment_3/config.json</x:v>
      </x:c>
      <x:c r="E31" s="1" t="str">
        <x:v>experiments/execution_46/experiment_3/results.json</x:v>
      </x:c>
      <x:c r="F31" s="1" t="str">
        <x:v>/home/dinos/ns-allinone-3.47/ns-3.47/experiments/execution_46/experiment_3</x:v>
      </x:c>
      <x:c r="G31" s="1" t="n">
        <x:v>100</x:v>
      </x:c>
      <x:c r="H31" s="1" t="n">
        <x:v>100.3605998</x:v>
      </x:c>
      <x:c r="I31" s="1" t="n">
        <x:v>10</x:v>
      </x:c>
      <x:c r="J31" s="1" t="n">
        <x:v>230</x:v>
      </x:c>
      <x:c r="K31" s="1" t="n">
        <x:v>100000000</x:v>
      </x:c>
      <x:c r="L31" s="1" t="n">
        <x:v>2</x:v>
      </x:c>
      <x:c r="M31" s="1" t="str">
        <x:v>DL|UL|UL|UL|</x:v>
      </x:c>
      <x:c r="N31" s="1" t="n">
        <x:v>1400</x:v>
      </x:c>
      <x:c r="O31" s="1" t="n">
        <x:v>1048576</x:v>
      </x:c>
      <x:c r="P31" s="1" t="n">
        <x:v>42</x:v>
      </x:c>
      <x:c r="Q31" s="1" t="n">
        <x:v>4</x:v>
      </x:c>
      <x:c r="R31" t="n">
        <x:v>234.597552</x:v>
      </x:c>
      <x:c r="S31" t="n">
        <x:v>229.9976</x:v>
      </x:c>
      <x:c r="T31" t="n">
        <x:v>4.128785515</x:v>
      </x:c>
      <x:c r="U31" t="n">
        <x:v>0.086573538</x:v>
      </x:c>
      <x:c r="V31" t="n">
        <x:v>0</x:v>
      </x:c>
      <x:c r="W31" t="n">
        <x:v>205355</x:v>
      </x:c>
      <x:c r="X31" t="n">
        <x:v>205355</x:v>
      </x:c>
      <x:c r="Y31" t="n">
        <x:v>293246940</x:v>
      </x:c>
      <x:c r="Z31" t="n">
        <x:v>0</x:v>
      </x:c>
      <x:c r="AA31" t="n">
        <x:v>46</x:v>
      </x:c>
      <x:c r="AB31" t="n">
        <x:v>2</x:v>
      </x:c>
    </x:row>
    <x:row r="32" ht="21" customHeight="1">
      <x:c r="A32" s="1" t="str">
        <x:v>load_240mbps_run_4</x:v>
      </x:c>
      <x:c r="B32" s="1" t="n">
        <x:v>46</x:v>
      </x:c>
      <x:c r="C32" s="1" t="str">
        <x:v>ns3</x:v>
      </x:c>
      <x:c r="D32" s="1" t="str">
        <x:v>experiments/execution_46/experiment_4/config.json</x:v>
      </x:c>
      <x:c r="E32" s="1" t="str">
        <x:v>experiments/execution_46/experiment_4/results.json</x:v>
      </x:c>
      <x:c r="F32" s="1" t="str">
        <x:v>/home/dinos/ns-allinone-3.47/ns-3.47/experiments/execution_46/experiment_4</x:v>
      </x:c>
      <x:c r="G32" s="1" t="n">
        <x:v>100</x:v>
      </x:c>
      <x:c r="H32" s="1" t="n">
        <x:v>100.3605998</x:v>
      </x:c>
      <x:c r="I32" s="1" t="n">
        <x:v>10</x:v>
      </x:c>
      <x:c r="J32" s="1" t="n">
        <x:v>240</x:v>
      </x:c>
      <x:c r="K32" s="1" t="n">
        <x:v>100000000</x:v>
      </x:c>
      <x:c r="L32" s="1" t="n">
        <x:v>2</x:v>
      </x:c>
      <x:c r="M32" s="1" t="str">
        <x:v>DL|UL|UL|UL|</x:v>
      </x:c>
      <x:c r="N32" s="1" t="n">
        <x:v>1400</x:v>
      </x:c>
      <x:c r="O32" s="1" t="n">
        <x:v>1048576</x:v>
      </x:c>
      <x:c r="P32" s="1" t="n">
        <x:v>42</x:v>
      </x:c>
      <x:c r="Q32" s="1" t="n">
        <x:v>4</x:v>
      </x:c>
      <x:c r="R32" t="n">
        <x:v>235.6851168</x:v>
      </x:c>
      <x:c r="S32" t="n">
        <x:v>231.06384</x:v>
      </x:c>
      <x:c r="T32" t="n">
        <x:v>36.31986646</x:v>
      </x:c>
      <x:c r="U32" t="n">
        <x:v>0.086632587</x:v>
      </x:c>
      <x:c r="V32" t="n">
        <x:v>0.037226298</x:v>
      </x:c>
      <x:c r="W32" t="n">
        <x:v>214284</x:v>
      </x:c>
      <x:c r="X32" t="n">
        <x:v>206307</x:v>
      </x:c>
      <x:c r="Y32" t="n">
        <x:v>294606396</x:v>
      </x:c>
      <x:c r="Z32" t="n">
        <x:v>7977</x:v>
      </x:c>
      <x:c r="AA32" t="n">
        <x:v>46</x:v>
      </x:c>
      <x:c r="AB32" t="n">
        <x:v>2</x:v>
      </x:c>
    </x:row>
    <x:row r="33" ht="21" customHeight="1">
      <x:c r="A33" s="1" t="str">
        <x:v>load_250mbps_run_4</x:v>
      </x:c>
      <x:c r="B33" s="1" t="n">
        <x:v>46</x:v>
      </x:c>
      <x:c r="C33" s="1" t="str">
        <x:v>ns3</x:v>
      </x:c>
      <x:c r="D33" s="1" t="str">
        <x:v>experiments/execution_46/experiment_5/config.json</x:v>
      </x:c>
      <x:c r="E33" s="1" t="str">
        <x:v>experiments/execution_46/experiment_5/results.json</x:v>
      </x:c>
      <x:c r="F33" s="1" t="str">
        <x:v>/home/dinos/ns-allinone-3.47/ns-3.47/experiments/execution_46/experiment_5</x:v>
      </x:c>
      <x:c r="G33" s="1" t="n">
        <x:v>100</x:v>
      </x:c>
      <x:c r="H33" s="1" t="n">
        <x:v>100.3605998</x:v>
      </x:c>
      <x:c r="I33" s="1" t="n">
        <x:v>10</x:v>
      </x:c>
      <x:c r="J33" s="1" t="n">
        <x:v>250</x:v>
      </x:c>
      <x:c r="K33" s="1" t="n">
        <x:v>100000000</x:v>
      </x:c>
      <x:c r="L33" s="1" t="n">
        <x:v>2</x:v>
      </x:c>
      <x:c r="M33" s="1" t="str">
        <x:v>DL|UL|UL|UL|</x:v>
      </x:c>
      <x:c r="N33" s="1" t="n">
        <x:v>1400</x:v>
      </x:c>
      <x:c r="O33" s="1" t="n">
        <x:v>1048576</x:v>
      </x:c>
      <x:c r="P33" s="1" t="n">
        <x:v>42</x:v>
      </x:c>
      <x:c r="Q33" s="1" t="n">
        <x:v>4</x:v>
      </x:c>
      <x:c r="R33" t="n">
        <x:v>235.6851168</x:v>
      </x:c>
      <x:c r="S33" t="n">
        <x:v>231.06384</x:v>
      </x:c>
      <x:c r="T33" t="n">
        <x:v>36.93780239</x:v>
      </x:c>
      <x:c r="U33" t="n">
        <x:v>0.086977529</x:v>
      </x:c>
      <x:c r="V33" t="n">
        <x:v>0.075743457</x:v>
      </x:c>
      <x:c r="W33" t="n">
        <x:v>223214</x:v>
      </x:c>
      <x:c r="X33" t="n">
        <x:v>206307</x:v>
      </x:c>
      <x:c r="Y33" t="n">
        <x:v>294606396</x:v>
      </x:c>
      <x:c r="Z33" t="n">
        <x:v>16907</x:v>
      </x:c>
      <x:c r="AA33" t="n">
        <x:v>46</x:v>
      </x:c>
      <x:c r="AB33" t="n">
        <x:v>2</x:v>
      </x:c>
    </x:row>
    <x:row r="34" ht="21" customHeight="1">
      <x:c r="A34" s="1" t="str">
        <x:v>load_210mbps_run_5</x:v>
      </x:c>
      <x:c r="B34" s="1" t="n">
        <x:v>47</x:v>
      </x:c>
      <x:c r="C34" s="1" t="str">
        <x:v>ns3</x:v>
      </x:c>
      <x:c r="D34" s="1" t="str">
        <x:v>experiments/execution_47/experiment_1/config.json</x:v>
      </x:c>
      <x:c r="E34" s="1" t="str">
        <x:v>experiments/execution_47/experiment_1/results.json</x:v>
      </x:c>
      <x:c r="F34" s="1" t="str">
        <x:v>/home/dinos/ns-allinone-3.47/ns-3.47/experiments/execution_47/experiment_1</x:v>
      </x:c>
      <x:c r="G34" s="1" t="n">
        <x:v>100</x:v>
      </x:c>
      <x:c r="H34" s="1" t="n">
        <x:v>100.3605998</x:v>
      </x:c>
      <x:c r="I34" s="1" t="n">
        <x:v>10</x:v>
      </x:c>
      <x:c r="J34" s="1" t="n">
        <x:v>210</x:v>
      </x:c>
      <x:c r="K34" s="1" t="n">
        <x:v>100000000</x:v>
      </x:c>
      <x:c r="L34" s="1" t="n">
        <x:v>2</x:v>
      </x:c>
      <x:c r="M34" s="1" t="str">
        <x:v>DL|UL|UL|UL|</x:v>
      </x:c>
      <x:c r="N34" s="1" t="n">
        <x:v>1400</x:v>
      </x:c>
      <x:c r="O34" s="1" t="n">
        <x:v>1048576</x:v>
      </x:c>
      <x:c r="P34" s="1" t="n">
        <x:v>42</x:v>
      </x:c>
      <x:c r="Q34" s="1" t="n">
        <x:v>5</x:v>
      </x:c>
      <x:c r="R34" t="n">
        <x:v>214.2011424</x:v>
      </x:c>
      <x:c r="S34" t="n">
        <x:v>210.00112</x:v>
      </x:c>
      <x:c r="T34" t="n">
        <x:v>3.669990676</x:v>
      </x:c>
      <x:c r="U34" t="n">
        <x:v>0.09448018</x:v>
      </x:c>
      <x:c r="V34" t="n">
        <x:v>0</x:v>
      </x:c>
      <x:c r="W34" t="n">
        <x:v>187501</x:v>
      </x:c>
      <x:c r="X34" t="n">
        <x:v>187501</x:v>
      </x:c>
      <x:c r="Y34" t="n">
        <x:v>267751428</x:v>
      </x:c>
      <x:c r="Z34" t="n">
        <x:v>0</x:v>
      </x:c>
      <x:c r="AA34" t="n">
        <x:v>47</x:v>
      </x:c>
      <x:c r="AB34" t="n">
        <x:v>2</x:v>
      </x:c>
    </x:row>
    <x:row r="35" ht="21" customHeight="1">
      <x:c r="A35" s="1" t="str">
        <x:v>load_220mbps_run_5</x:v>
      </x:c>
      <x:c r="B35" s="1" t="n">
        <x:v>47</x:v>
      </x:c>
      <x:c r="C35" s="1" t="str">
        <x:v>ns3</x:v>
      </x:c>
      <x:c r="D35" s="1" t="str">
        <x:v>experiments/execution_47/experiment_2/config.json</x:v>
      </x:c>
      <x:c r="E35" s="1" t="str">
        <x:v>experiments/execution_47/experiment_2/results.json</x:v>
      </x:c>
      <x:c r="F35" s="1" t="str">
        <x:v>/home/dinos/ns-allinone-3.47/ns-3.47/experiments/execution_47/experiment_2</x:v>
      </x:c>
      <x:c r="G35" s="1" t="n">
        <x:v>100</x:v>
      </x:c>
      <x:c r="H35" s="1" t="n">
        <x:v>100.3605998</x:v>
      </x:c>
      <x:c r="I35" s="1" t="n">
        <x:v>10</x:v>
      </x:c>
      <x:c r="J35" s="1" t="n">
        <x:v>220</x:v>
      </x:c>
      <x:c r="K35" s="1" t="n">
        <x:v>100000000</x:v>
      </x:c>
      <x:c r="L35" s="1" t="n">
        <x:v>2</x:v>
      </x:c>
      <x:c r="M35" s="1" t="str">
        <x:v>DL|UL|UL|UL|</x:v>
      </x:c>
      <x:c r="N35" s="1" t="n">
        <x:v>1400</x:v>
      </x:c>
      <x:c r="O35" s="1" t="n">
        <x:v>1048576</x:v>
      </x:c>
      <x:c r="P35" s="1" t="n">
        <x:v>42</x:v>
      </x:c>
      <x:c r="Q35" s="1" t="n">
        <x:v>5</x:v>
      </x:c>
      <x:c r="R35" t="n">
        <x:v>224.3993472</x:v>
      </x:c>
      <x:c r="S35" t="n">
        <x:v>219.99936</x:v>
      </x:c>
      <x:c r="T35" t="n">
        <x:v>3.732401347</x:v>
      </x:c>
      <x:c r="U35" t="n">
        <x:v>0.090311409</x:v>
      </x:c>
      <x:c r="V35" t="n">
        <x:v>0</x:v>
      </x:c>
      <x:c r="W35" t="n">
        <x:v>196428</x:v>
      </x:c>
      <x:c r="X35" t="n">
        <x:v>196428</x:v>
      </x:c>
      <x:c r="Y35" t="n">
        <x:v>280499184</x:v>
      </x:c>
      <x:c r="Z35" t="n">
        <x:v>0</x:v>
      </x:c>
      <x:c r="AA35" t="n">
        <x:v>47</x:v>
      </x:c>
      <x:c r="AB35" t="n">
        <x:v>2</x:v>
      </x:c>
    </x:row>
    <x:row r="36" ht="21" customHeight="1">
      <x:c r="A36" s="1" t="str">
        <x:v>load_230mbps_run_5</x:v>
      </x:c>
      <x:c r="B36" s="1" t="n">
        <x:v>47</x:v>
      </x:c>
      <x:c r="C36" s="1" t="str">
        <x:v>ns3</x:v>
      </x:c>
      <x:c r="D36" s="1" t="str">
        <x:v>experiments/execution_47/experiment_3/config.json</x:v>
      </x:c>
      <x:c r="E36" s="1" t="str">
        <x:v>experiments/execution_47/experiment_3/results.json</x:v>
      </x:c>
      <x:c r="F36" s="1" t="str">
        <x:v>/home/dinos/ns-allinone-3.47/ns-3.47/experiments/execution_47/experiment_3</x:v>
      </x:c>
      <x:c r="G36" s="1" t="n">
        <x:v>100</x:v>
      </x:c>
      <x:c r="H36" s="1" t="n">
        <x:v>100.3605998</x:v>
      </x:c>
      <x:c r="I36" s="1" t="n">
        <x:v>10</x:v>
      </x:c>
      <x:c r="J36" s="1" t="n">
        <x:v>230</x:v>
      </x:c>
      <x:c r="K36" s="1" t="n">
        <x:v>100000000</x:v>
      </x:c>
      <x:c r="L36" s="1" t="n">
        <x:v>2</x:v>
      </x:c>
      <x:c r="M36" s="1" t="str">
        <x:v>DL|UL|UL|UL|</x:v>
      </x:c>
      <x:c r="N36" s="1" t="n">
        <x:v>1400</x:v>
      </x:c>
      <x:c r="O36" s="1" t="n">
        <x:v>1048576</x:v>
      </x:c>
      <x:c r="P36" s="1" t="n">
        <x:v>42</x:v>
      </x:c>
      <x:c r="Q36" s="1" t="n">
        <x:v>5</x:v>
      </x:c>
      <x:c r="R36" t="n">
        <x:v>234.597552</x:v>
      </x:c>
      <x:c r="S36" t="n">
        <x:v>229.9976</x:v>
      </x:c>
      <x:c r="T36" t="n">
        <x:v>4.110805618</x:v>
      </x:c>
      <x:c r="U36" t="n">
        <x:v>0.086605027</x:v>
      </x:c>
      <x:c r="V36" t="n">
        <x:v>0</x:v>
      </x:c>
      <x:c r="W36" t="n">
        <x:v>205355</x:v>
      </x:c>
      <x:c r="X36" t="n">
        <x:v>205355</x:v>
      </x:c>
      <x:c r="Y36" t="n">
        <x:v>293246940</x:v>
      </x:c>
      <x:c r="Z36" t="n">
        <x:v>0</x:v>
      </x:c>
      <x:c r="AA36" t="n">
        <x:v>47</x:v>
      </x:c>
      <x:c r="AB36" t="n">
        <x:v>2</x:v>
      </x:c>
    </x:row>
    <x:row r="37" ht="21" customHeight="1">
      <x:c r="A37" s="1" t="str">
        <x:v>load_240mbps_run_5</x:v>
      </x:c>
      <x:c r="B37" s="1" t="n">
        <x:v>47</x:v>
      </x:c>
      <x:c r="C37" s="1" t="str">
        <x:v>ns3</x:v>
      </x:c>
      <x:c r="D37" s="1" t="str">
        <x:v>experiments/execution_47/experiment_4/config.json</x:v>
      </x:c>
      <x:c r="E37" s="1" t="str">
        <x:v>experiments/execution_47/experiment_4/results.json</x:v>
      </x:c>
      <x:c r="F37" s="1" t="str">
        <x:v>/home/dinos/ns-allinone-3.47/ns-3.47/experiments/execution_47/experiment_4</x:v>
      </x:c>
      <x:c r="G37" s="1" t="n">
        <x:v>100</x:v>
      </x:c>
      <x:c r="H37" s="1" t="n">
        <x:v>100.3605998</x:v>
      </x:c>
      <x:c r="I37" s="1" t="n">
        <x:v>10</x:v>
      </x:c>
      <x:c r="J37" s="1" t="n">
        <x:v>240</x:v>
      </x:c>
      <x:c r="K37" s="1" t="n">
        <x:v>100000000</x:v>
      </x:c>
      <x:c r="L37" s="1" t="n">
        <x:v>2</x:v>
      </x:c>
      <x:c r="M37" s="1" t="str">
        <x:v>DL|UL|UL|UL|</x:v>
      </x:c>
      <x:c r="N37" s="1" t="n">
        <x:v>1400</x:v>
      </x:c>
      <x:c r="O37" s="1" t="n">
        <x:v>1048576</x:v>
      </x:c>
      <x:c r="P37" s="1" t="n">
        <x:v>42</x:v>
      </x:c>
      <x:c r="Q37" s="1" t="n">
        <x:v>5</x:v>
      </x:c>
      <x:c r="R37" t="n">
        <x:v>235.6851168</x:v>
      </x:c>
      <x:c r="S37" t="n">
        <x:v>231.06384</x:v>
      </x:c>
      <x:c r="T37" t="n">
        <x:v>36.31448487</x:v>
      </x:c>
      <x:c r="U37" t="n">
        <x:v>0.086707919</x:v>
      </x:c>
      <x:c r="V37" t="n">
        <x:v>0.037226298</x:v>
      </x:c>
      <x:c r="W37" t="n">
        <x:v>214284</x:v>
      </x:c>
      <x:c r="X37" t="n">
        <x:v>206307</x:v>
      </x:c>
      <x:c r="Y37" t="n">
        <x:v>294606396</x:v>
      </x:c>
      <x:c r="Z37" t="n">
        <x:v>7977</x:v>
      </x:c>
      <x:c r="AA37" t="n">
        <x:v>47</x:v>
      </x:c>
      <x:c r="AB37" t="n">
        <x:v>2</x:v>
      </x:c>
    </x:row>
    <x:row r="38" ht="21" customHeight="1">
      <x:c r="A38" s="1" t="str">
        <x:v>load_250mbps_run_5</x:v>
      </x:c>
      <x:c r="B38" s="1" t="n">
        <x:v>47</x:v>
      </x:c>
      <x:c r="C38" s="1" t="str">
        <x:v>ns3</x:v>
      </x:c>
      <x:c r="D38" s="1" t="str">
        <x:v>experiments/execution_47/experiment_5/config.json</x:v>
      </x:c>
      <x:c r="E38" s="1" t="str">
        <x:v>experiments/execution_47/experiment_5/results.json</x:v>
      </x:c>
      <x:c r="F38" s="1" t="str">
        <x:v>/home/dinos/ns-allinone-3.47/ns-3.47/experiments/execution_47/experiment_5</x:v>
      </x:c>
      <x:c r="G38" s="1" t="n">
        <x:v>100</x:v>
      </x:c>
      <x:c r="H38" s="1" t="n">
        <x:v>100.3605998</x:v>
      </x:c>
      <x:c r="I38" s="1" t="n">
        <x:v>10</x:v>
      </x:c>
      <x:c r="J38" s="1" t="n">
        <x:v>250</x:v>
      </x:c>
      <x:c r="K38" s="1" t="n">
        <x:v>100000000</x:v>
      </x:c>
      <x:c r="L38" s="1" t="n">
        <x:v>2</x:v>
      </x:c>
      <x:c r="M38" s="1" t="str">
        <x:v>DL|UL|UL|UL|</x:v>
      </x:c>
      <x:c r="N38" s="1" t="n">
        <x:v>1400</x:v>
      </x:c>
      <x:c r="O38" s="1" t="n">
        <x:v>1048576</x:v>
      </x:c>
      <x:c r="P38" s="1" t="n">
        <x:v>42</x:v>
      </x:c>
      <x:c r="Q38" s="1" t="n">
        <x:v>5</x:v>
      </x:c>
      <x:c r="R38" t="n">
        <x:v>235.6851168</x:v>
      </x:c>
      <x:c r="S38" t="n">
        <x:v>231.06384</x:v>
      </x:c>
      <x:c r="T38" t="n">
        <x:v>36.93844443</x:v>
      </x:c>
      <x:c r="U38" t="n">
        <x:v>0.087069121</x:v>
      </x:c>
      <x:c r="V38" t="n">
        <x:v>0.075743457</x:v>
      </x:c>
      <x:c r="W38" t="n">
        <x:v>223214</x:v>
      </x:c>
      <x:c r="X38" t="n">
        <x:v>206307</x:v>
      </x:c>
      <x:c r="Y38" t="n">
        <x:v>294606396</x:v>
      </x:c>
      <x:c r="Z38" t="n">
        <x:v>16907</x:v>
      </x:c>
      <x:c r="AA38" t="n">
        <x:v>47</x:v>
      </x:c>
      <x:c r="AB38" t="n">
        <x:v>2</x:v>
      </x:c>
    </x:row>
    <x:row r="39" ht="21" customHeight="1">
      <x:c r="A39" s="1" t="str">
        <x:v>load_210mbps_run_1</x:v>
      </x:c>
      <x:c r="B39" s="1" t="n">
        <x:v>48</x:v>
      </x:c>
      <x:c r="C39" s="1" t="str">
        <x:v>ns3</x:v>
      </x:c>
      <x:c r="D39" s="1" t="str">
        <x:v>experiments/execution_48/experiment_1/config.json</x:v>
      </x:c>
      <x:c r="E39" s="1" t="str">
        <x:v>experiments/execution_48/experiment_1/results.json</x:v>
      </x:c>
      <x:c r="F39" s="1" t="str">
        <x:v>/home/dinos/ns-allinone-3.47/ns-3.47/experiments/execution_48/experiment_1</x:v>
      </x:c>
      <x:c r="G39" s="1" t="n">
        <x:v>100</x:v>
      </x:c>
      <x:c r="H39" s="1" t="n">
        <x:v>100.3605998</x:v>
      </x:c>
      <x:c r="I39" s="1" t="n">
        <x:v>10</x:v>
      </x:c>
      <x:c r="J39" s="1" t="n">
        <x:v>210</x:v>
      </x:c>
      <x:c r="K39" s="1" t="n">
        <x:v>100000000</x:v>
      </x:c>
      <x:c r="L39" s="1" t="n">
        <x:v>2</x:v>
      </x:c>
      <x:c r="M39" s="1" t="str">
        <x:v>DL|UL|UL|UL|</x:v>
      </x:c>
      <x:c r="N39" s="1" t="n">
        <x:v>1400</x:v>
      </x:c>
      <x:c r="O39" s="1" t="n">
        <x:v>1048576</x:v>
      </x:c>
      <x:c r="P39" s="1" t="n">
        <x:v>42</x:v>
      </x:c>
      <x:c r="Q39" s="1" t="n">
        <x:v>1</x:v>
      </x:c>
      <x:c r="R39" t="n">
        <x:v>214.2011424</x:v>
      </x:c>
      <x:c r="S39" t="n">
        <x:v>210.00112</x:v>
      </x:c>
      <x:c r="T39" t="n">
        <x:v>3.666334866</x:v>
      </x:c>
      <x:c r="U39" t="n">
        <x:v>0.094525785</x:v>
      </x:c>
      <x:c r="V39" t="n">
        <x:v>0</x:v>
      </x:c>
      <x:c r="W39" t="n">
        <x:v>187501</x:v>
      </x:c>
      <x:c r="X39" t="n">
        <x:v>187501</x:v>
      </x:c>
      <x:c r="Y39" t="n">
        <x:v>267751428</x:v>
      </x:c>
      <x:c r="Z39" t="n">
        <x:v>0</x:v>
      </x:c>
      <x:c r="AA39" t="n">
        <x:v>48</x:v>
      </x:c>
      <x:c r="AB39" t="n">
        <x:v>5</x:v>
      </x:c>
    </x:row>
    <x:row r="40" ht="21" customHeight="1">
      <x:c r="A40" s="1" t="str">
        <x:v>load_220mbps_run_1</x:v>
      </x:c>
      <x:c r="B40" s="1" t="n">
        <x:v>48</x:v>
      </x:c>
      <x:c r="C40" s="1" t="str">
        <x:v>ns3</x:v>
      </x:c>
      <x:c r="D40" s="1" t="str">
        <x:v>experiments/execution_48/experiment_2/config.json</x:v>
      </x:c>
      <x:c r="E40" s="1" t="str">
        <x:v>experiments/execution_48/experiment_2/results.json</x:v>
      </x:c>
      <x:c r="F40" s="1" t="str">
        <x:v>/home/dinos/ns-allinone-3.47/ns-3.47/experiments/execution_48/experiment_2</x:v>
      </x:c>
      <x:c r="G40" s="1" t="n">
        <x:v>100</x:v>
      </x:c>
      <x:c r="H40" s="1" t="n">
        <x:v>100.3605998</x:v>
      </x:c>
      <x:c r="I40" s="1" t="n">
        <x:v>10</x:v>
      </x:c>
      <x:c r="J40" s="1" t="n">
        <x:v>220</x:v>
      </x:c>
      <x:c r="K40" s="1" t="n">
        <x:v>100000000</x:v>
      </x:c>
      <x:c r="L40" s="1" t="n">
        <x:v>2</x:v>
      </x:c>
      <x:c r="M40" s="1" t="str">
        <x:v>DL|UL|UL|UL|</x:v>
      </x:c>
      <x:c r="N40" s="1" t="n">
        <x:v>1400</x:v>
      </x:c>
      <x:c r="O40" s="1" t="n">
        <x:v>1048576</x:v>
      </x:c>
      <x:c r="P40" s="1" t="n">
        <x:v>42</x:v>
      </x:c>
      <x:c r="Q40" s="1" t="n">
        <x:v>1</x:v>
      </x:c>
      <x:c r="R40" t="n">
        <x:v>224.3993472</x:v>
      </x:c>
      <x:c r="S40" t="n">
        <x:v>219.99936</x:v>
      </x:c>
      <x:c r="T40" t="n">
        <x:v>3.733332515</x:v>
      </x:c>
      <x:c r="U40" t="n">
        <x:v>0.09031473</x:v>
      </x:c>
      <x:c r="V40" t="n">
        <x:v>0</x:v>
      </x:c>
      <x:c r="W40" t="n">
        <x:v>196428</x:v>
      </x:c>
      <x:c r="X40" t="n">
        <x:v>196428</x:v>
      </x:c>
      <x:c r="Y40" t="n">
        <x:v>280499184</x:v>
      </x:c>
      <x:c r="Z40" t="n">
        <x:v>0</x:v>
      </x:c>
      <x:c r="AA40" t="n">
        <x:v>48</x:v>
      </x:c>
      <x:c r="AB40" t="n">
        <x:v>5</x:v>
      </x:c>
    </x:row>
    <x:row r="41" ht="21" customHeight="1">
      <x:c r="A41" s="1" t="str">
        <x:v>load_230mbps_run_1</x:v>
      </x:c>
      <x:c r="B41" s="1" t="n">
        <x:v>48</x:v>
      </x:c>
      <x:c r="C41" s="1" t="str">
        <x:v>ns3</x:v>
      </x:c>
      <x:c r="D41" s="1" t="str">
        <x:v>experiments/execution_48/experiment_3/config.json</x:v>
      </x:c>
      <x:c r="E41" s="1" t="str">
        <x:v>experiments/execution_48/experiment_3/results.json</x:v>
      </x:c>
      <x:c r="F41" s="1" t="str">
        <x:v>/home/dinos/ns-allinone-3.47/ns-3.47/experiments/execution_48/experiment_3</x:v>
      </x:c>
      <x:c r="G41" s="1" t="n">
        <x:v>100</x:v>
      </x:c>
      <x:c r="H41" s="1" t="n">
        <x:v>100.3605998</x:v>
      </x:c>
      <x:c r="I41" s="1" t="n">
        <x:v>10</x:v>
      </x:c>
      <x:c r="J41" s="1" t="n">
        <x:v>230</x:v>
      </x:c>
      <x:c r="K41" s="1" t="n">
        <x:v>100000000</x:v>
      </x:c>
      <x:c r="L41" s="1" t="n">
        <x:v>2</x:v>
      </x:c>
      <x:c r="M41" s="1" t="str">
        <x:v>DL|UL|UL|UL|</x:v>
      </x:c>
      <x:c r="N41" s="1" t="n">
        <x:v>1400</x:v>
      </x:c>
      <x:c r="O41" s="1" t="n">
        <x:v>1048576</x:v>
      </x:c>
      <x:c r="P41" s="1" t="n">
        <x:v>42</x:v>
      </x:c>
      <x:c r="Q41" s="1" t="n">
        <x:v>1</x:v>
      </x:c>
      <x:c r="R41" t="n">
        <x:v>234.597552</x:v>
      </x:c>
      <x:c r="S41" t="n">
        <x:v>229.9976</x:v>
      </x:c>
      <x:c r="T41" t="n">
        <x:v>4.111868419</x:v>
      </x:c>
      <x:c r="U41" t="n">
        <x:v>0.086655231</x:v>
      </x:c>
      <x:c r="V41" t="n">
        <x:v>0</x:v>
      </x:c>
      <x:c r="W41" t="n">
        <x:v>205355</x:v>
      </x:c>
      <x:c r="X41" t="n">
        <x:v>205355</x:v>
      </x:c>
      <x:c r="Y41" t="n">
        <x:v>293246940</x:v>
      </x:c>
      <x:c r="Z41" t="n">
        <x:v>0</x:v>
      </x:c>
      <x:c r="AA41" t="n">
        <x:v>48</x:v>
      </x:c>
      <x:c r="AB41" t="n">
        <x:v>5</x:v>
      </x:c>
    </x:row>
    <x:row r="42" ht="21" customHeight="1">
      <x:c r="A42" s="1" t="str">
        <x:v>load_240mbps_run_1</x:v>
      </x:c>
      <x:c r="B42" s="1" t="n">
        <x:v>48</x:v>
      </x:c>
      <x:c r="C42" s="1" t="str">
        <x:v>ns3</x:v>
      </x:c>
      <x:c r="D42" s="1" t="str">
        <x:v>experiments/execution_48/experiment_4/config.json</x:v>
      </x:c>
      <x:c r="E42" s="1" t="str">
        <x:v>experiments/execution_48/experiment_4/results.json</x:v>
      </x:c>
      <x:c r="F42" s="1" t="str">
        <x:v>/home/dinos/ns-allinone-3.47/ns-3.47/experiments/execution_48/experiment_4</x:v>
      </x:c>
      <x:c r="G42" s="1" t="n">
        <x:v>100</x:v>
      </x:c>
      <x:c r="H42" s="1" t="n">
        <x:v>100.3605998</x:v>
      </x:c>
      <x:c r="I42" s="1" t="n">
        <x:v>10</x:v>
      </x:c>
      <x:c r="J42" s="1" t="n">
        <x:v>240</x:v>
      </x:c>
      <x:c r="K42" s="1" t="n">
        <x:v>100000000</x:v>
      </x:c>
      <x:c r="L42" s="1" t="n">
        <x:v>2</x:v>
      </x:c>
      <x:c r="M42" s="1" t="str">
        <x:v>DL|UL|UL|UL|</x:v>
      </x:c>
      <x:c r="N42" s="1" t="n">
        <x:v>1400</x:v>
      </x:c>
      <x:c r="O42" s="1" t="n">
        <x:v>1048576</x:v>
      </x:c>
      <x:c r="P42" s="1" t="n">
        <x:v>42</x:v>
      </x:c>
      <x:c r="Q42" s="1" t="n">
        <x:v>1</x:v>
      </x:c>
      <x:c r="R42" t="n">
        <x:v>235.6851168</x:v>
      </x:c>
      <x:c r="S42" t="n">
        <x:v>231.06384</x:v>
      </x:c>
      <x:c r="T42" t="n">
        <x:v>36.31072604</x:v>
      </x:c>
      <x:c r="U42" t="n">
        <x:v>0.086673342</x:v>
      </x:c>
      <x:c r="V42" t="n">
        <x:v>0.037226298</x:v>
      </x:c>
      <x:c r="W42" t="n">
        <x:v>214284</x:v>
      </x:c>
      <x:c r="X42" t="n">
        <x:v>206307</x:v>
      </x:c>
      <x:c r="Y42" t="n">
        <x:v>294606396</x:v>
      </x:c>
      <x:c r="Z42" t="n">
        <x:v>7977</x:v>
      </x:c>
      <x:c r="AA42" t="n">
        <x:v>48</x:v>
      </x:c>
      <x:c r="AB42" t="n">
        <x:v>5</x:v>
      </x:c>
    </x:row>
    <x:row r="43" ht="21" customHeight="1">
      <x:c r="A43" s="1" t="str">
        <x:v>load_250mbps_run_1</x:v>
      </x:c>
      <x:c r="B43" s="1" t="n">
        <x:v>48</x:v>
      </x:c>
      <x:c r="C43" s="1" t="str">
        <x:v>ns3</x:v>
      </x:c>
      <x:c r="D43" s="1" t="str">
        <x:v>experiments/execution_48/experiment_5/config.json</x:v>
      </x:c>
      <x:c r="E43" s="1" t="str">
        <x:v>experiments/execution_48/experiment_5/results.json</x:v>
      </x:c>
      <x:c r="F43" s="1" t="str">
        <x:v>/home/dinos/ns-allinone-3.47/ns-3.47/experiments/execution_48/experiment_5</x:v>
      </x:c>
      <x:c r="G43" s="1" t="n">
        <x:v>100</x:v>
      </x:c>
      <x:c r="H43" s="1" t="n">
        <x:v>100.3605998</x:v>
      </x:c>
      <x:c r="I43" s="1" t="n">
        <x:v>10</x:v>
      </x:c>
      <x:c r="J43" s="1" t="n">
        <x:v>250</x:v>
      </x:c>
      <x:c r="K43" s="1" t="n">
        <x:v>100000000</x:v>
      </x:c>
      <x:c r="L43" s="1" t="n">
        <x:v>2</x:v>
      </x:c>
      <x:c r="M43" s="1" t="str">
        <x:v>DL|UL|UL|UL|</x:v>
      </x:c>
      <x:c r="N43" s="1" t="n">
        <x:v>1400</x:v>
      </x:c>
      <x:c r="O43" s="1" t="n">
        <x:v>1048576</x:v>
      </x:c>
      <x:c r="P43" s="1" t="n">
        <x:v>42</x:v>
      </x:c>
      <x:c r="Q43" s="1" t="n">
        <x:v>1</x:v>
      </x:c>
      <x:c r="R43" t="n">
        <x:v>235.6851168</x:v>
      </x:c>
      <x:c r="S43" t="n">
        <x:v>231.06384</x:v>
      </x:c>
      <x:c r="T43" t="n">
        <x:v>36.93447564</x:v>
      </x:c>
      <x:c r="U43" t="n">
        <x:v>0.087021471</x:v>
      </x:c>
      <x:c r="V43" t="n">
        <x:v>0.075743457</x:v>
      </x:c>
      <x:c r="W43" t="n">
        <x:v>223214</x:v>
      </x:c>
      <x:c r="X43" t="n">
        <x:v>206307</x:v>
      </x:c>
      <x:c r="Y43" t="n">
        <x:v>294606396</x:v>
      </x:c>
      <x:c r="Z43" t="n">
        <x:v>16907</x:v>
      </x:c>
      <x:c r="AA43" t="n">
        <x:v>48</x:v>
      </x:c>
      <x:c r="AB43" t="n">
        <x:v>5</x:v>
      </x:c>
    </x:row>
    <x:row r="44" ht="21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1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21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1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1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1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1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1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1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2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2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2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21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21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21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21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21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21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21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21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21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21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21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21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21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21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21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21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21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21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21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</x:sheetData>
  <x:pageMargins left="0.7" right="0.7" top="0.75" bottom="0.75" header="0.3" footer="0.3"/>
</x:worksheet>
</file>