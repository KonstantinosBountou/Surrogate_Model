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cb45b4caa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et size" sheetId="1" r:id="Rb3273a3eef4145d9"/>
    <x:sheet xmlns:r="http://schemas.openxmlformats.org/officeDocument/2006/relationships" name="Raw data" sheetId="2" r:id="R0b61edf8f037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192a500594d09" /><Relationship Type="http://schemas.openxmlformats.org/officeDocument/2006/relationships/theme" Target="/xl/theme/theme1.xml" Id="Rd1c3fed67d504e7e" /><Relationship Type="http://schemas.openxmlformats.org/officeDocument/2006/relationships/sharedStrings" Target="/xl/sharedStrings.xml" Id="R5094377611854bb1" /><Relationship Type="http://schemas.openxmlformats.org/officeDocument/2006/relationships/worksheet" Target="/xl/worksheets/sheet1.xml" Id="Rb3273a3eef4145d9" /><Relationship Type="http://schemas.openxmlformats.org/officeDocument/2006/relationships/worksheet" Target="/xl/worksheets/sheet2.xml" Id="R0b61edf8f03748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7c966b1f7c4dcd" /><Relationship Type="http://schemas.openxmlformats.org/officeDocument/2006/relationships/chart" Target="/xl/drawings/charts/chart2.xml" Id="R201c27a6e5a54711" /><Relationship Type="http://schemas.openxmlformats.org/officeDocument/2006/relationships/chart" Target="/xl/drawings/charts/chart3.xml" Id="R61e0febc2f354550" /><Relationship Type="http://schemas.openxmlformats.org/officeDocument/2006/relationships/chart" Target="/xl/drawings/charts/chart4.xml" Id="Ra781e2cc5f0d4bd9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'Packet size'!$G$58:$G$61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plus>
            <c:minus>
              <c:numRef>
                <c:f>'Packet size'!$G$58:$G$61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minus>
          </c:errBars>
          <c:xVal>
            <c:numRef>
              <c:f>'Packet size'!$A$58:$A$61</c:f>
              <c:numCache>
                <c:formatCode>General</c:formatCode>
                <c:ptCount val="0"/>
              </c:numCache>
            </c:numRef>
          </c:xVal>
          <c:yVal>
            <c:numRef>
              <c:f>'Packet size'!$B$58:$B$61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'Packet size'!$H$58:$H$61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plus>
            <c:minus>
              <c:numRef>
                <c:f>'Packet size'!$H$58:$H$61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minus>
          </c:errBars>
          <c:xVal>
            <c:numRef>
              <c:f>'Packet size'!$A$58:$A$61</c:f>
              <c:numCache>
                <c:formatCode>General</c:formatCode>
                <c:ptCount val="0"/>
              </c:numCache>
            </c:numRef>
          </c:xVal>
          <c:yVal>
            <c:numRef>
              <c:f>'Packet size'!$C$58:$C$61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Packet size (bytes)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'Packet size'!$I$58:$I$61</c:f>
                <c:numCache>
                  <c:formatCode>0.000000</c:formatCode>
                  <c:ptCount val="4"/>
                  <c:pt idx="0">
                    <c:v>0.008197784731017118</c:v>
                  </c:pt>
                  <c:pt idx="1">
                    <c:v>0.00679288928179685</c:v>
                  </c:pt>
                  <c:pt idx="2">
                    <c:v>0.00482526716201622</c:v>
                  </c:pt>
                  <c:pt idx="3">
                    <c:v>0.003964022385571858</c:v>
                  </c:pt>
                </c:numCache>
              </c:numRef>
            </c:plus>
            <c:minus>
              <c:numRef>
                <c:f>'Packet size'!$I$58:$I$61</c:f>
                <c:numCache>
                  <c:formatCode>0.000000</c:formatCode>
                  <c:ptCount val="4"/>
                  <c:pt idx="0">
                    <c:v>0.008197784731017118</c:v>
                  </c:pt>
                  <c:pt idx="1">
                    <c:v>0.00679288928179685</c:v>
                  </c:pt>
                  <c:pt idx="2">
                    <c:v>0.00482526716201622</c:v>
                  </c:pt>
                  <c:pt idx="3">
                    <c:v>0.003964022385571858</c:v>
                  </c:pt>
                </c:numCache>
              </c:numRef>
            </c:minus>
          </c:errBars>
          <c:xVal>
            <c:numRef>
              <c:f>'Packet size'!$A$58:$A$61</c:f>
              <c:numCache>
                <c:formatCode>General</c:formatCode>
                <c:ptCount val="0"/>
              </c:numCache>
            </c:numRef>
          </c:xVal>
          <c:yVal>
            <c:numRef>
              <c:f>'Packet size'!$D$58:$D$61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Packet size (bytes)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'Packet size'!$K$58:$K$61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plus>
            <c:minus>
              <c:numRef>
                <c:f>'Packet size'!$K$58:$K$61</c:f>
                <c:numCache>
                  <c:formatCode>0.000000</c:formatCode>
                  <c:ptCount val="4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</c:numCache>
              </c:numRef>
            </c:minus>
          </c:errBars>
          <c:xVal>
            <c:numRef>
              <c:f>'Packet size'!$A$58:$A$61</c:f>
              <c:numCache>
                <c:formatCode>General</c:formatCode>
                <c:ptCount val="0"/>
              </c:numCache>
            </c:numRef>
          </c:xVal>
          <c:yVal>
            <c:numRef>
              <c:f>'Packet size'!$F$58:$F$61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Packet size (bytes)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'Packet size'!$J$58:$J$61</c:f>
                <c:numCache>
                  <c:formatCode>0.000000</c:formatCode>
                  <c:ptCount val="4"/>
                  <c:pt idx="0">
                    <c:v>7.474592296574644e-07</c:v>
                  </c:pt>
                  <c:pt idx="1">
                    <c:v>3.404985271628765e-06</c:v>
                  </c:pt>
                  <c:pt idx="2">
                    <c:v>5.872523520598574e-06</c:v>
                  </c:pt>
                  <c:pt idx="3">
                    <c:v>4.979712989520944e-05</c:v>
                  </c:pt>
                </c:numCache>
              </c:numRef>
            </c:plus>
            <c:minus>
              <c:numRef>
                <c:f>'Packet size'!$J$58:$J$61</c:f>
                <c:numCache>
                  <c:formatCode>0.000000</c:formatCode>
                  <c:ptCount val="4"/>
                  <c:pt idx="0">
                    <c:v>7.474592296574644e-07</c:v>
                  </c:pt>
                  <c:pt idx="1">
                    <c:v>3.404985271628765e-06</c:v>
                  </c:pt>
                  <c:pt idx="2">
                    <c:v>5.872523520598574e-06</c:v>
                  </c:pt>
                  <c:pt idx="3">
                    <c:v>4.979712989520944e-05</c:v>
                  </c:pt>
                </c:numCache>
              </c:numRef>
            </c:minus>
          </c:errBars>
          <c:xVal>
            <c:numRef>
              <c:f>'Packet size'!$A$58:$A$61</c:f>
              <c:numCache>
                <c:formatCode>General</c:formatCode>
                <c:ptCount val="0"/>
              </c:numCache>
            </c:numRef>
          </c:xVal>
          <c:yVal>
            <c:numRef>
              <c:f>'Packet size'!$E$58:$E$61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Packet size (bytes)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200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7c966b1f7c4dcd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1c27a6e5a5471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0febc2f354550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81e2cc5f0d4b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5eb34b027148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Packet size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200 Mbps; bandwidth 100 MHz; UE power 10 dBm; distance 100 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200, 500, 1000, 1400 B; RLC buffer 1 MiB;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All transmitted packets were received in every run. No extended-drain test was needed.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Packet size (bytes)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200</x:v>
      </x:c>
      <x:c r="B58" s="6" t="n">
        <x:f>AVERAGE('Raw data'!T4,'Raw data'!T8,'Raw data'!T12,'Raw data'!T16,'Raw data'!T20)</x:f>
        <x:v>227.9998176</x:v>
      </x:c>
      <x:c r="C58" s="6" t="n">
        <x:f>AVERAGE('Raw data'!U4,'Raw data'!U8,'Raw data'!U12,'Raw data'!U16,'Raw data'!U20)</x:f>
        <x:v>199.99984</x:v>
      </x:c>
      <x:c r="D58" s="6" t="n">
        <x:f>AVERAGE('Raw data'!V4,'Raw data'!V8,'Raw data'!V12,'Raw data'!V16,'Raw data'!V20)</x:f>
        <x:v>3.800534288</x:v>
      </x:c>
      <x:c r="E58" s="6" t="n">
        <x:f>AVERAGE('Raw data'!W4,'Raw data'!W8,'Raw data'!W12,'Raw data'!W16,'Raw data'!W20)</x:f>
        <x:v>0.0153389736</x:v>
      </x:c>
      <x:c r="F58" s="7" t="n">
        <x:f>AVERAGE('Raw data'!X4,'Raw data'!X8,'Raw data'!X12,'Raw data'!X16,'Raw data'!X20)*100</x:f>
        <x:v>0</x:v>
      </x:c>
      <x:c r="G58" s="6" t="n">
        <x:f>STDEV('Raw data'!T4,'Raw data'!T8,'Raw data'!T12,'Raw data'!T16,'Raw data'!T20)</x:f>
        <x:v>0</x:v>
      </x:c>
      <x:c r="H58" s="6" t="n">
        <x:f>STDEV('Raw data'!U4,'Raw data'!U8,'Raw data'!U12,'Raw data'!U16,'Raw data'!U20)</x:f>
        <x:v>0</x:v>
      </x:c>
      <x:c r="I58" s="6" t="n">
        <x:f>STDEV('Raw data'!V4,'Raw data'!V8,'Raw data'!V12,'Raw data'!V16,'Raw data'!V20)</x:f>
        <x:v>0.008197784731017116</x:v>
      </x:c>
      <x:c r="J58" s="6" t="n">
        <x:f>STDEV('Raw data'!W4,'Raw data'!W8,'Raw data'!W12,'Raw data'!W16,'Raw data'!W20)</x:f>
        <x:v>7.474592296574643e-7</x:v>
      </x:c>
      <x:c r="K58" s="6" t="n">
        <x:f>STDEV('Raw data'!X4,'Raw data'!X8,'Raw data'!X12,'Raw data'!X16,'Raw data'!X20)*100</x:f>
        <x:v>0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500</x:v>
      </x:c>
      <x:c r="B59" s="6" t="n">
        <x:f>AVERAGE('Raw data'!T5,'Raw data'!T9,'Raw data'!T13,'Raw data'!T17,'Raw data'!T21)</x:f>
        <x:v>211.19957759999997</x:v>
      </x:c>
      <x:c r="C59" s="6" t="n">
        <x:f>AVERAGE('Raw data'!U5,'Raw data'!U9,'Raw data'!U13,'Raw data'!U17,'Raw data'!U21)</x:f>
        <x:v>199.9996</x:v>
      </x:c>
      <x:c r="D59" s="6" t="n">
        <x:f>AVERAGE('Raw data'!V5,'Raw data'!V9,'Raw data'!V13,'Raw data'!V17,'Raw data'!V21)</x:f>
        <x:v>3.6396256584</x:v>
      </x:c>
      <x:c r="E59" s="6" t="n">
        <x:f>AVERAGE('Raw data'!W5,'Raw data'!W9,'Raw data'!W13,'Raw data'!W17,'Raw data'!W21)</x:f>
        <x:v>0.037684608800000005</x:v>
      </x:c>
      <x:c r="F59" s="7" t="n">
        <x:f>AVERAGE('Raw data'!X5,'Raw data'!X9,'Raw data'!X13,'Raw data'!X17,'Raw data'!X21)*100</x:f>
        <x:v>0</x:v>
      </x:c>
      <x:c r="G59" s="6" t="n">
        <x:f>STDEV('Raw data'!T5,'Raw data'!T9,'Raw data'!T13,'Raw data'!T17,'Raw data'!T21)</x:f>
        <x:v>3.1776437161565096e-14</x:v>
      </x:c>
      <x:c r="H59" s="6" t="n">
        <x:f>STDEV('Raw data'!U5,'Raw data'!U9,'Raw data'!U13,'Raw data'!U17,'Raw data'!U21)</x:f>
        <x:v>0</x:v>
      </x:c>
      <x:c r="I59" s="6" t="n">
        <x:f>STDEV('Raw data'!V5,'Raw data'!V9,'Raw data'!V13,'Raw data'!V17,'Raw data'!V21)</x:f>
        <x:v>0.00679288928179685</x:v>
      </x:c>
      <x:c r="J59" s="6" t="n">
        <x:f>STDEV('Raw data'!W5,'Raw data'!W9,'Raw data'!W13,'Raw data'!W17,'Raw data'!W21)</x:f>
        <x:v>0.000003404985271628765</x:v>
      </x:c>
      <x:c r="K59" s="6" t="n">
        <x:f>STDEV('Raw data'!X5,'Raw data'!X9,'Raw data'!X13,'Raw data'!X17,'Raw data'!X21)*100</x:f>
        <x:v>0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1000</x:v>
      </x:c>
      <x:c r="B60" s="6" t="n">
        <x:f>AVERAGE('Raw data'!T6,'Raw data'!T10,'Raw data'!T14,'Raw data'!T18,'Raw data'!T22)</x:f>
        <x:v>205.5991776</x:v>
      </x:c>
      <x:c r="C60" s="6" t="n">
        <x:f>AVERAGE('Raw data'!U6,'Raw data'!U10,'Raw data'!U14,'Raw data'!U18,'Raw data'!U22)</x:f>
        <x:v>199.9992</x:v>
      </x:c>
      <x:c r="D60" s="6" t="n">
        <x:f>AVERAGE('Raw data'!V6,'Raw data'!V10,'Raw data'!V14,'Raw data'!V18,'Raw data'!V22)</x:f>
        <x:v>3.6303558359999997</x:v>
      </x:c>
      <x:c r="E60" s="6" t="n">
        <x:f>AVERAGE('Raw data'!W6,'Raw data'!W10,'Raw data'!W14,'Raw data'!W18,'Raw data'!W22)</x:f>
        <x:v>0.072790664</x:v>
      </x:c>
      <x:c r="F60" s="7" t="n">
        <x:f>AVERAGE('Raw data'!X6,'Raw data'!X10,'Raw data'!X14,'Raw data'!X18,'Raw data'!X22)*100</x:f>
        <x:v>0</x:v>
      </x:c>
      <x:c r="G60" s="6" t="n">
        <x:f>STDEV('Raw data'!T6,'Raw data'!T10,'Raw data'!T14,'Raw data'!T18,'Raw data'!T22)</x:f>
        <x:v>0</x:v>
      </x:c>
      <x:c r="H60" s="6" t="n">
        <x:f>STDEV('Raw data'!U6,'Raw data'!U10,'Raw data'!U14,'Raw data'!U18,'Raw data'!U22)</x:f>
        <x:v>0</x:v>
      </x:c>
      <x:c r="I60" s="6" t="n">
        <x:f>STDEV('Raw data'!V6,'Raw data'!V10,'Raw data'!V14,'Raw data'!V18,'Raw data'!V22)</x:f>
        <x:v>0.00482526716201622</x:v>
      </x:c>
      <x:c r="J60" s="6" t="n">
        <x:f>STDEV('Raw data'!W6,'Raw data'!W10,'Raw data'!W14,'Raw data'!W18,'Raw data'!W22)</x:f>
        <x:v>0.000005872523520598574</x:v>
      </x:c>
      <x:c r="K60" s="6" t="n">
        <x:f>STDEV('Raw data'!X6,'Raw data'!X10,'Raw data'!X14,'Raw data'!X18,'Raw data'!X22)*100</x:f>
        <x:v>0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 t="n">
        <x:v>1400</x:v>
      </x:c>
      <x:c r="B61" s="6" t="n">
        <x:f>AVERAGE('Raw data'!T7,'Raw data'!T11,'Raw data'!T15,'Raw data'!T19,'Raw data'!T23)</x:f>
        <x:v>203.9995104</x:v>
      </x:c>
      <x:c r="C61" s="6" t="n">
        <x:f>AVERAGE('Raw data'!U7,'Raw data'!U11,'Raw data'!U15,'Raw data'!U19,'Raw data'!U23)</x:f>
        <x:v>199.99952</x:v>
      </x:c>
      <x:c r="D61" s="6" t="n">
        <x:f>AVERAGE('Raw data'!V7,'Raw data'!V11,'Raw data'!V15,'Raw data'!V19,'Raw data'!V23)</x:f>
        <x:v>3.6507803539999997</x:v>
      </x:c>
      <x:c r="E61" s="6" t="n">
        <x:f>AVERAGE('Raw data'!W7,'Raw data'!W11,'Raw data'!W15,'Raw data'!W19,'Raw data'!W23)</x:f>
        <x:v>0.0990438124</x:v>
      </x:c>
      <x:c r="F61" s="7" t="n">
        <x:f>AVERAGE('Raw data'!X7,'Raw data'!X11,'Raw data'!X15,'Raw data'!X19,'Raw data'!X23)*100</x:f>
        <x:v>0</x:v>
      </x:c>
      <x:c r="G61" s="6" t="n">
        <x:f>STDEV('Raw data'!T7,'Raw data'!T11,'Raw data'!T15,'Raw data'!T19,'Raw data'!T23)</x:f>
        <x:v>0</x:v>
      </x:c>
      <x:c r="H61" s="6" t="n">
        <x:f>STDEV('Raw data'!U7,'Raw data'!U11,'Raw data'!U15,'Raw data'!U19,'Raw data'!U23)</x:f>
        <x:v>0</x:v>
      </x:c>
      <x:c r="I61" s="6" t="n">
        <x:f>STDEV('Raw data'!V7,'Raw data'!V11,'Raw data'!V15,'Raw data'!V19,'Raw data'!V23)</x:f>
        <x:v>0.003964022385571858</x:v>
      </x:c>
      <x:c r="J61" s="6" t="n">
        <x:f>STDEV('Raw data'!W7,'Raw data'!W11,'Raw data'!W15,'Raw data'!W19,'Raw data'!W23)</x:f>
        <x:v>0.00004979712989520945</x:v>
      </x:c>
      <x:c r="K61" s="6" t="n">
        <x:f>STDEV('Raw data'!X7,'Raw data'!X11,'Raw data'!X15,'Raw data'!X19,'Raw data'!X23)*100</x:f>
        <x:v>0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All four packet sizes deliver approximately 200 Mbps payload with zero packet loss.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IP throughput is higher for smaller packets because IP/UDP headers add 28 bytes per packet.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Higher IP throughput here does not mean more useful data. Compare application goodput as well.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8" t="str">
        <x:v>Method and interpretation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 t="str">
        <x:v>Sources: /home/dinos/ns-allinone-3.47/ns-3.47/experiments/execution_90 through execution_94/batch_dataset.csv.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 t="str">
        <x:v>20 observations: four packet sizes, each with seed 42 and runs 1–5. Means and sample SD are Excel formulas.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 t="str">
        <x:v>Error bars are ±1 sample standard deviation, not confidence intervals. Very small SD may be visually invisible.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 t="str">
        <x:v>Single stationary UE, UDP uplink, Friis without fading/shadowing; uplink power control disabled.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 t="str">
        <x:v>The simulator includes the scheduling-request correction and the local TDD MIB/SIB fix from 2026-10-04.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  <x:row r="76">
      <x:c r="A76" t="str">
        <x:v>Offered load is fixed in payload Mbps; changing packet size also changes the packet emission rate.</x:v>
      </x:c>
    </x:row>
    <x:row r="77">
      <x:c r="A77" t="str">
        <x:v>IP throughput / application goodput = (payload bytes + 28) / payload bytes for these received packets.</x:v>
      </x:c>
    </x:row>
    <x:row r="78">
      <x:c r="A78" t="str">
        <x:v>The header overhead is 14%, 5.6%, 2.8%, and 2% of payload for 200, 500, 1000, and 1400 bytes.</x:v>
      </x:c>
    </x:row>
    <x:row r="79">
      <x:c r="A79" t="str">
        <x:v>Rates use the 10 s application window, counting packets received during drain. They are not peak capacity.</x:v>
      </x:c>
    </x:row>
    <x:row r="80">
      <x:c r="A80" t="str">
        <x:v>Small goodput differences below 200 Mbps reflect discrete packet counts in the finite application window.</x:v>
      </x:c>
    </x:row>
    <x:row r="81">
      <x:c r="A81" t="str">
        <x:v>Loss = (tx_packets - rx_packets) / tx_packets at the end of drain; delay and jitter describe received packets.</x:v>
      </x:c>
    </x:row>
    <x:row r="82">
      <x:c r="A82" t="str">
        <x:v>Every run has tx_packets = rx_packets and zero unreceived packets after drain. No extended-drain run was needed.</x:v>
      </x:c>
    </x:row>
    <x:row r="83">
      <x:c r="A83" t="str">
        <x:v>Mean jitter increases across the tested packet sizes; mean delay is not monotonic.</x:v>
      </x:c>
    </x:row>
    <x:row r="84">
      <x:c r="A84" t="str">
        <x:v>These observations apply to this scenario and load; they do not establish a universal optimal packet size.</x:v>
      </x:c>
    </x:row>
  </x:sheetData>
  <x:pageMargins left="0.7" right="0.7" top="0.75" bottom="0.75" header="0.3" footer="0.3"/>
  <x:drawing xmlns:r="http://schemas.openxmlformats.org/officeDocument/2006/relationships" r:id="R175eb34b0271482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90–94 (runs 1–5, drain 2 s).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status</x:v>
      </x:c>
      <x:c r="B3" s="4" t="str">
        <x:v>experiment_index</x:v>
      </x:c>
      <x:c r="C3" s="4" t="str">
        <x:v>experiment_id</x:v>
      </x:c>
      <x:c r="D3" s="4" t="str">
        <x:v>n8n_execution_id</x:v>
      </x:c>
      <x:c r="E3" s="4" t="str">
        <x:v>data_source</x:v>
      </x:c>
      <x:c r="F3" s="4" t="str">
        <x:v>config_path</x:v>
      </x:c>
      <x:c r="G3" s="4" t="str">
        <x:v>results_path</x:v>
      </x:c>
      <x:c r="H3" s="4" t="str">
        <x:v>experiment_dir</x:v>
      </x:c>
      <x:c r="I3" s="4" t="str">
        <x:v>ue_distance_2d_m</x:v>
      </x:c>
      <x:c r="J3" s="4" t="str">
        <x:v>ue_distance_3d_m</x:v>
      </x:c>
      <x:c r="K3" s="4" t="str">
        <x:v>ue_tx_power_dbm</x:v>
      </x:c>
      <x:c r="L3" s="4" t="str">
        <x:v>offered_load_mbps</x:v>
      </x:c>
      <x:c r="M3" s="4" t="str">
        <x:v>bandwidth_hz</x:v>
      </x:c>
      <x:c r="N3" s="4" t="str">
        <x:v>numerology</x:v>
      </x:c>
      <x:c r="O3" s="4" t="str">
        <x:v>tdd_pattern</x:v>
      </x:c>
      <x:c r="P3" s="4" t="str">
        <x:v>packet_size_bytes</x:v>
      </x:c>
      <x:c r="Q3" s="4" t="str">
        <x:v>rlc_buffer_size_bytes</x:v>
      </x:c>
      <x:c r="R3" s="4" t="str">
        <x:v>rng_seed</x:v>
      </x:c>
      <x:c r="S3" s="4" t="str">
        <x:v>rng_run</x:v>
      </x:c>
      <x:c r="T3" s="4" t="str">
        <x:v>throughput_mbps</x:v>
      </x:c>
      <x:c r="U3" s="4" t="str">
        <x:v>app_goodput_mbps</x:v>
      </x:c>
      <x:c r="V3" s="4" t="str">
        <x:v>end_to_end_delay_ms</x:v>
      </x:c>
      <x:c r="W3" s="4" t="str">
        <x:v>jitter_ms</x:v>
      </x:c>
      <x:c r="X3" s="4" t="str">
        <x:v>loss_fraction</x:v>
      </x:c>
      <x:c r="Y3" s="4" t="str">
        <x:v>tx_packets</x:v>
      </x:c>
      <x:c r="Z3" s="4" t="str">
        <x:v>rx_packets</x:v>
      </x:c>
      <x:c r="AA3" s="4" t="str">
        <x:v>ip_rx_bytes</x:v>
      </x:c>
      <x:c r="AB3" s="4" t="str">
        <x:v>unreceived_packets_after_drain</x:v>
      </x:c>
    </x:row>
    <x:row r="4" ht="21" customHeight="1">
      <x:c r="A4" s="1" t="str">
        <x:v>success</x:v>
      </x:c>
      <x:c r="B4" s="1" t="n">
        <x:v>1</x:v>
      </x:c>
      <x:c r="C4" s="1" t="str">
        <x:v>packet_200bytes_run_1</x:v>
      </x:c>
      <x:c r="D4" s="1" t="n">
        <x:v>90</x:v>
      </x:c>
      <x:c r="E4" s="1" t="str">
        <x:v>ns3</x:v>
      </x:c>
      <x:c r="F4" s="1" t="str">
        <x:v>experiments/execution_90/experiment_1/config.json</x:v>
      </x:c>
      <x:c r="G4" s="1" t="str">
        <x:v>experiments/execution_90/experiment_1/results.json</x:v>
      </x:c>
      <x:c r="H4" s="1" t="str">
        <x:v>/home/dinos/ns-allinone-3.47/ns-3.47/experiments/execution_90/experiment_1</x:v>
      </x:c>
      <x:c r="I4" s="1" t="n">
        <x:v>100</x:v>
      </x:c>
      <x:c r="J4" s="1" t="n">
        <x:v>100.3605998</x:v>
      </x:c>
      <x:c r="K4" s="1" t="n">
        <x:v>10</x:v>
      </x:c>
      <x:c r="L4" s="1" t="n">
        <x:v>200</x:v>
      </x:c>
      <x:c r="M4" s="1" t="n">
        <x:v>100000000</x:v>
      </x:c>
      <x:c r="N4" s="1" t="n">
        <x:v>2</x:v>
      </x:c>
      <x:c r="O4" s="1" t="str">
        <x:v>DL|UL|UL|UL|</x:v>
      </x:c>
      <x:c r="P4" s="1" t="n">
        <x:v>200</x:v>
      </x:c>
      <x:c r="Q4" s="1" t="n">
        <x:v>1048576</x:v>
      </x:c>
      <x:c r="R4" s="1" t="n">
        <x:v>42</x:v>
      </x:c>
      <x:c r="S4" s="1" t="n">
        <x:v>1</x:v>
      </x:c>
      <x:c r="T4" s="1" t="n">
        <x:v>227.9998176</x:v>
      </x:c>
      <x:c r="U4" s="1" t="n">
        <x:v>199.99984</x:v>
      </x:c>
      <x:c r="V4" s="1" t="n">
        <x:v>3.797457235</x:v>
      </x:c>
      <x:c r="W4" s="1" t="n">
        <x:v>0.015338202</x:v>
      </x:c>
      <x:c r="X4" s="1" t="n">
        <x:v>0</x:v>
      </x:c>
      <x:c r="Y4" s="1" t="n">
        <x:v>1249999</x:v>
      </x:c>
      <x:c r="Z4" s="1" t="n">
        <x:v>1249999</x:v>
      </x:c>
      <x:c r="AA4" s="1" t="n">
        <x:v>284999772</x:v>
      </x:c>
      <x:c r="AB4" s="1" t="n">
        <x:v>0</x:v>
      </x:c>
    </x:row>
    <x:row r="5" ht="21" customHeight="1">
      <x:c r="A5" s="1" t="str">
        <x:v>success</x:v>
      </x:c>
      <x:c r="B5" s="1" t="n">
        <x:v>2</x:v>
      </x:c>
      <x:c r="C5" s="1" t="str">
        <x:v>packet_500bytes_run_1</x:v>
      </x:c>
      <x:c r="D5" s="1" t="n">
        <x:v>90</x:v>
      </x:c>
      <x:c r="E5" s="1" t="str">
        <x:v>ns3</x:v>
      </x:c>
      <x:c r="F5" s="1" t="str">
        <x:v>experiments/execution_90/experiment_2/config.json</x:v>
      </x:c>
      <x:c r="G5" s="1" t="str">
        <x:v>experiments/execution_90/experiment_2/results.json</x:v>
      </x:c>
      <x:c r="H5" s="1" t="str">
        <x:v>/home/dinos/ns-allinone-3.47/ns-3.47/experiments/execution_90/experiment_2</x:v>
      </x:c>
      <x:c r="I5" s="1" t="n">
        <x:v>100</x:v>
      </x:c>
      <x:c r="J5" s="1" t="n">
        <x:v>100.3605998</x:v>
      </x:c>
      <x:c r="K5" s="1" t="n">
        <x:v>10</x:v>
      </x:c>
      <x:c r="L5" s="1" t="n">
        <x:v>200</x:v>
      </x:c>
      <x:c r="M5" s="1" t="n">
        <x:v>100000000</x:v>
      </x:c>
      <x:c r="N5" s="1" t="n">
        <x:v>2</x:v>
      </x:c>
      <x:c r="O5" s="1" t="str">
        <x:v>DL|UL|UL|UL|</x:v>
      </x:c>
      <x:c r="P5" s="1" t="n">
        <x:v>500</x:v>
      </x:c>
      <x:c r="Q5" s="1" t="n">
        <x:v>1048576</x:v>
      </x:c>
      <x:c r="R5" s="1" t="n">
        <x:v>42</x:v>
      </x:c>
      <x:c r="S5" s="1" t="n">
        <x:v>1</x:v>
      </x:c>
      <x:c r="T5" s="1" t="n">
        <x:v>211.1995776</x:v>
      </x:c>
      <x:c r="U5" s="1" t="n">
        <x:v>199.9996</x:v>
      </x:c>
      <x:c r="V5" s="1" t="n">
        <x:v>3.64536977</x:v>
      </x:c>
      <x:c r="W5" s="1" t="n">
        <x:v>0.037687222</x:v>
      </x:c>
      <x:c r="X5" s="1" t="n">
        <x:v>0</x:v>
      </x:c>
      <x:c r="Y5" s="1" t="n">
        <x:v>499999</x:v>
      </x:c>
      <x:c r="Z5" s="1" t="n">
        <x:v>499999</x:v>
      </x:c>
      <x:c r="AA5" s="1" t="n">
        <x:v>263999472</x:v>
      </x:c>
      <x:c r="AB5" s="1" t="n">
        <x:v>0</x:v>
      </x:c>
    </x:row>
    <x:row r="6" ht="21" customHeight="1">
      <x:c r="A6" s="1" t="str">
        <x:v>success</x:v>
      </x:c>
      <x:c r="B6" s="1" t="n">
        <x:v>3</x:v>
      </x:c>
      <x:c r="C6" s="1" t="str">
        <x:v>packet_1000bytes_run_1</x:v>
      </x:c>
      <x:c r="D6" s="1" t="n">
        <x:v>90</x:v>
      </x:c>
      <x:c r="E6" s="1" t="str">
        <x:v>ns3</x:v>
      </x:c>
      <x:c r="F6" s="1" t="str">
        <x:v>experiments/execution_90/experiment_3/config.json</x:v>
      </x:c>
      <x:c r="G6" s="1" t="str">
        <x:v>experiments/execution_90/experiment_3/results.json</x:v>
      </x:c>
      <x:c r="H6" s="1" t="str">
        <x:v>/home/dinos/ns-allinone-3.47/ns-3.47/experiments/execution_90/experiment_3</x:v>
      </x:c>
      <x:c r="I6" s="1" t="n">
        <x:v>100</x:v>
      </x:c>
      <x:c r="J6" s="1" t="n">
        <x:v>100.3605998</x:v>
      </x:c>
      <x:c r="K6" s="1" t="n">
        <x:v>10</x:v>
      </x:c>
      <x:c r="L6" s="1" t="n">
        <x:v>200</x:v>
      </x:c>
      <x:c r="M6" s="1" t="n">
        <x:v>100000000</x:v>
      </x:c>
      <x:c r="N6" s="1" t="n">
        <x:v>2</x:v>
      </x:c>
      <x:c r="O6" s="1" t="str">
        <x:v>DL|UL|UL|UL|</x:v>
      </x:c>
      <x:c r="P6" s="1" t="n">
        <x:v>1000</x:v>
      </x:c>
      <x:c r="Q6" s="1" t="n">
        <x:v>1048576</x:v>
      </x:c>
      <x:c r="R6" s="1" t="n">
        <x:v>42</x:v>
      </x:c>
      <x:c r="S6" s="1" t="n">
        <x:v>1</x:v>
      </x:c>
      <x:c r="T6" s="1" t="n">
        <x:v>205.5991776</x:v>
      </x:c>
      <x:c r="U6" s="1" t="n">
        <x:v>199.9992</x:v>
      </x:c>
      <x:c r="V6" s="1" t="n">
        <x:v>3.630027069</x:v>
      </x:c>
      <x:c r="W6" s="1" t="n">
        <x:v>0.072787995</x:v>
      </x:c>
      <x:c r="X6" s="1" t="n">
        <x:v>0</x:v>
      </x:c>
      <x:c r="Y6" s="1" t="n">
        <x:v>249999</x:v>
      </x:c>
      <x:c r="Z6" s="1" t="n">
        <x:v>249999</x:v>
      </x:c>
      <x:c r="AA6" s="1" t="n">
        <x:v>256998972</x:v>
      </x:c>
      <x:c r="AB6" s="1" t="n">
        <x:v>0</x:v>
      </x:c>
    </x:row>
    <x:row r="7" ht="21" customHeight="1">
      <x:c r="A7" s="1" t="str">
        <x:v>success</x:v>
      </x:c>
      <x:c r="B7" s="1" t="n">
        <x:v>4</x:v>
      </x:c>
      <x:c r="C7" s="1" t="str">
        <x:v>packet_1400bytes_run_1</x:v>
      </x:c>
      <x:c r="D7" s="1" t="n">
        <x:v>90</x:v>
      </x:c>
      <x:c r="E7" s="1" t="str">
        <x:v>ns3</x:v>
      </x:c>
      <x:c r="F7" s="1" t="str">
        <x:v>experiments/execution_90/experiment_4/config.json</x:v>
      </x:c>
      <x:c r="G7" s="1" t="str">
        <x:v>experiments/execution_90/experiment_4/results.json</x:v>
      </x:c>
      <x:c r="H7" s="1" t="str">
        <x:v>/home/dinos/ns-allinone-3.47/ns-3.47/experiments/execution_90/experiment_4</x:v>
      </x:c>
      <x:c r="I7" s="1" t="n">
        <x:v>100</x:v>
      </x:c>
      <x:c r="J7" s="1" t="n">
        <x:v>100.3605998</x:v>
      </x:c>
      <x:c r="K7" s="1" t="n">
        <x:v>10</x:v>
      </x:c>
      <x:c r="L7" s="1" t="n">
        <x:v>200</x:v>
      </x:c>
      <x:c r="M7" s="1" t="n">
        <x:v>100000000</x:v>
      </x:c>
      <x:c r="N7" s="1" t="n">
        <x:v>2</x:v>
      </x:c>
      <x:c r="O7" s="1" t="str">
        <x:v>DL|UL|UL|UL|</x:v>
      </x:c>
      <x:c r="P7" s="1" t="n">
        <x:v>1400</x:v>
      </x:c>
      <x:c r="Q7" s="1" t="n">
        <x:v>1048576</x:v>
      </x:c>
      <x:c r="R7" s="1" t="n">
        <x:v>42</x:v>
      </x:c>
      <x:c r="S7" s="1" t="n">
        <x:v>1</x:v>
      </x:c>
      <x:c r="T7" s="1" t="n">
        <x:v>203.9995104</x:v>
      </x:c>
      <x:c r="U7" s="1" t="n">
        <x:v>199.99952</x:v>
      </x:c>
      <x:c r="V7" s="1" t="n">
        <x:v>3.653616326</x:v>
      </x:c>
      <x:c r="W7" s="1" t="n">
        <x:v>0.099031597</x:v>
      </x:c>
      <x:c r="X7" s="1" t="n">
        <x:v>0</x:v>
      </x:c>
      <x:c r="Y7" s="1" t="n">
        <x:v>178571</x:v>
      </x:c>
      <x:c r="Z7" s="1" t="n">
        <x:v>178571</x:v>
      </x:c>
      <x:c r="AA7" s="1" t="n">
        <x:v>254999388</x:v>
      </x:c>
      <x:c r="AB7" s="1" t="n">
        <x:v>0</x:v>
      </x:c>
    </x:row>
    <x:row r="8" ht="21" customHeight="1">
      <x:c r="A8" s="1" t="str">
        <x:v>success</x:v>
      </x:c>
      <x:c r="B8" s="1" t="n">
        <x:v>1</x:v>
      </x:c>
      <x:c r="C8" s="1" t="str">
        <x:v>packet_200bytes_run_2</x:v>
      </x:c>
      <x:c r="D8" s="1" t="n">
        <x:v>91</x:v>
      </x:c>
      <x:c r="E8" s="1" t="str">
        <x:v>ns3</x:v>
      </x:c>
      <x:c r="F8" s="1" t="str">
        <x:v>experiments/execution_91/experiment_1/config.json</x:v>
      </x:c>
      <x:c r="G8" s="1" t="str">
        <x:v>experiments/execution_91/experiment_1/results.json</x:v>
      </x:c>
      <x:c r="H8" s="1" t="str">
        <x:v>/home/dinos/ns-allinone-3.47/ns-3.47/experiments/execution_91/experiment_1</x:v>
      </x:c>
      <x:c r="I8" s="1" t="n">
        <x:v>100</x:v>
      </x:c>
      <x:c r="J8" s="1" t="n">
        <x:v>100.3605998</x:v>
      </x:c>
      <x:c r="K8" s="1" t="n">
        <x:v>10</x:v>
      </x:c>
      <x:c r="L8" s="1" t="n">
        <x:v>200</x:v>
      </x:c>
      <x:c r="M8" s="1" t="n">
        <x:v>100000000</x:v>
      </x:c>
      <x:c r="N8" s="1" t="n">
        <x:v>2</x:v>
      </x:c>
      <x:c r="O8" s="1" t="str">
        <x:v>DL|UL|UL|UL|</x:v>
      </x:c>
      <x:c r="P8" s="1" t="n">
        <x:v>200</x:v>
      </x:c>
      <x:c r="Q8" s="1" t="n">
        <x:v>1048576</x:v>
      </x:c>
      <x:c r="R8" s="1" t="n">
        <x:v>42</x:v>
      </x:c>
      <x:c r="S8" s="1" t="n">
        <x:v>2</x:v>
      </x:c>
      <x:c r="T8" s="1" t="n">
        <x:v>227.9998176</x:v>
      </x:c>
      <x:c r="U8" s="1" t="n">
        <x:v>199.99984</x:v>
      </x:c>
      <x:c r="V8" s="1" t="n">
        <x:v>3.812400417</x:v>
      </x:c>
      <x:c r="W8" s="1" t="n">
        <x:v>0.015339339</x:v>
      </x:c>
      <x:c r="X8" s="1" t="n">
        <x:v>0</x:v>
      </x:c>
      <x:c r="Y8" s="1" t="n">
        <x:v>1249999</x:v>
      </x:c>
      <x:c r="Z8" s="1" t="n">
        <x:v>1249999</x:v>
      </x:c>
      <x:c r="AA8" s="1" t="n">
        <x:v>284999772</x:v>
      </x:c>
      <x:c r="AB8" s="1" t="n">
        <x:v>0</x:v>
      </x:c>
    </x:row>
    <x:row r="9" ht="21" customHeight="1">
      <x:c r="A9" s="1" t="str">
        <x:v>success</x:v>
      </x:c>
      <x:c r="B9" s="1" t="n">
        <x:v>2</x:v>
      </x:c>
      <x:c r="C9" s="1" t="str">
        <x:v>packet_500bytes_run_2</x:v>
      </x:c>
      <x:c r="D9" s="1" t="n">
        <x:v>91</x:v>
      </x:c>
      <x:c r="E9" s="1" t="str">
        <x:v>ns3</x:v>
      </x:c>
      <x:c r="F9" s="1" t="str">
        <x:v>experiments/execution_91/experiment_2/config.json</x:v>
      </x:c>
      <x:c r="G9" s="1" t="str">
        <x:v>experiments/execution_91/experiment_2/results.json</x:v>
      </x:c>
      <x:c r="H9" s="1" t="str">
        <x:v>/home/dinos/ns-allinone-3.47/ns-3.47/experiments/execution_91/experiment_2</x:v>
      </x:c>
      <x:c r="I9" s="1" t="n">
        <x:v>100</x:v>
      </x:c>
      <x:c r="J9" s="1" t="n">
        <x:v>100.3605998</x:v>
      </x:c>
      <x:c r="K9" s="1" t="n">
        <x:v>10</x:v>
      </x:c>
      <x:c r="L9" s="1" t="n">
        <x:v>200</x:v>
      </x:c>
      <x:c r="M9" s="1" t="n">
        <x:v>100000000</x:v>
      </x:c>
      <x:c r="N9" s="1" t="n">
        <x:v>2</x:v>
      </x:c>
      <x:c r="O9" s="1" t="str">
        <x:v>DL|UL|UL|UL|</x:v>
      </x:c>
      <x:c r="P9" s="1" t="n">
        <x:v>500</x:v>
      </x:c>
      <x:c r="Q9" s="1" t="n">
        <x:v>1048576</x:v>
      </x:c>
      <x:c r="R9" s="1" t="n">
        <x:v>42</x:v>
      </x:c>
      <x:c r="S9" s="1" t="n">
        <x:v>2</x:v>
      </x:c>
      <x:c r="T9" s="1" t="n">
        <x:v>211.1995776</x:v>
      </x:c>
      <x:c r="U9" s="1" t="n">
        <x:v>199.9996</x:v>
      </x:c>
      <x:c r="V9" s="1" t="n">
        <x:v>3.643564511</x:v>
      </x:c>
      <x:c r="W9" s="1" t="n">
        <x:v>0.03768377</x:v>
      </x:c>
      <x:c r="X9" s="1" t="n">
        <x:v>0</x:v>
      </x:c>
      <x:c r="Y9" s="1" t="n">
        <x:v>499999</x:v>
      </x:c>
      <x:c r="Z9" s="1" t="n">
        <x:v>499999</x:v>
      </x:c>
      <x:c r="AA9" s="1" t="n">
        <x:v>263999472</x:v>
      </x:c>
      <x:c r="AB9" s="1" t="n">
        <x:v>0</x:v>
      </x:c>
    </x:row>
    <x:row r="10" ht="21" customHeight="1">
      <x:c r="A10" s="1" t="str">
        <x:v>success</x:v>
      </x:c>
      <x:c r="B10" s="1" t="n">
        <x:v>3</x:v>
      </x:c>
      <x:c r="C10" s="1" t="str">
        <x:v>packet_1000bytes_run_2</x:v>
      </x:c>
      <x:c r="D10" s="1" t="n">
        <x:v>91</x:v>
      </x:c>
      <x:c r="E10" s="1" t="str">
        <x:v>ns3</x:v>
      </x:c>
      <x:c r="F10" s="1" t="str">
        <x:v>experiments/execution_91/experiment_3/config.json</x:v>
      </x:c>
      <x:c r="G10" s="1" t="str">
        <x:v>experiments/execution_91/experiment_3/results.json</x:v>
      </x:c>
      <x:c r="H10" s="1" t="str">
        <x:v>/home/dinos/ns-allinone-3.47/ns-3.47/experiments/execution_91/experiment_3</x:v>
      </x:c>
      <x:c r="I10" s="1" t="n">
        <x:v>100</x:v>
      </x:c>
      <x:c r="J10" s="1" t="n">
        <x:v>100.3605998</x:v>
      </x:c>
      <x:c r="K10" s="1" t="n">
        <x:v>10</x:v>
      </x:c>
      <x:c r="L10" s="1" t="n">
        <x:v>200</x:v>
      </x:c>
      <x:c r="M10" s="1" t="n">
        <x:v>100000000</x:v>
      </x:c>
      <x:c r="N10" s="1" t="n">
        <x:v>2</x:v>
      </x:c>
      <x:c r="O10" s="1" t="str">
        <x:v>DL|UL|UL|UL|</x:v>
      </x:c>
      <x:c r="P10" s="1" t="n">
        <x:v>1000</x:v>
      </x:c>
      <x:c r="Q10" s="1" t="n">
        <x:v>1048576</x:v>
      </x:c>
      <x:c r="R10" s="1" t="n">
        <x:v>42</x:v>
      </x:c>
      <x:c r="S10" s="1" t="n">
        <x:v>2</x:v>
      </x:c>
      <x:c r="T10" s="1" t="n">
        <x:v>205.5991776</x:v>
      </x:c>
      <x:c r="U10" s="1" t="n">
        <x:v>199.9992</x:v>
      </x:c>
      <x:c r="V10" s="1" t="n">
        <x:v>3.633283219</x:v>
      </x:c>
      <x:c r="W10" s="1" t="n">
        <x:v>0.072783458</x:v>
      </x:c>
      <x:c r="X10" s="1" t="n">
        <x:v>0</x:v>
      </x:c>
      <x:c r="Y10" s="1" t="n">
        <x:v>249999</x:v>
      </x:c>
      <x:c r="Z10" s="1" t="n">
        <x:v>249999</x:v>
      </x:c>
      <x:c r="AA10" s="1" t="n">
        <x:v>256998972</x:v>
      </x:c>
      <x:c r="AB10" s="1" t="n">
        <x:v>0</x:v>
      </x:c>
    </x:row>
    <x:row r="11" ht="21" customHeight="1">
      <x:c r="A11" s="1" t="str">
        <x:v>success</x:v>
      </x:c>
      <x:c r="B11" s="1" t="n">
        <x:v>4</x:v>
      </x:c>
      <x:c r="C11" s="1" t="str">
        <x:v>packet_1400bytes_run_2</x:v>
      </x:c>
      <x:c r="D11" s="1" t="n">
        <x:v>91</x:v>
      </x:c>
      <x:c r="E11" s="1" t="str">
        <x:v>ns3</x:v>
      </x:c>
      <x:c r="F11" s="1" t="str">
        <x:v>experiments/execution_91/experiment_4/config.json</x:v>
      </x:c>
      <x:c r="G11" s="1" t="str">
        <x:v>experiments/execution_91/experiment_4/results.json</x:v>
      </x:c>
      <x:c r="H11" s="1" t="str">
        <x:v>/home/dinos/ns-allinone-3.47/ns-3.47/experiments/execution_91/experiment_4</x:v>
      </x:c>
      <x:c r="I11" s="1" t="n">
        <x:v>100</x:v>
      </x:c>
      <x:c r="J11" s="1" t="n">
        <x:v>100.3605998</x:v>
      </x:c>
      <x:c r="K11" s="1" t="n">
        <x:v>10</x:v>
      </x:c>
      <x:c r="L11" s="1" t="n">
        <x:v>200</x:v>
      </x:c>
      <x:c r="M11" s="1" t="n">
        <x:v>100000000</x:v>
      </x:c>
      <x:c r="N11" s="1" t="n">
        <x:v>2</x:v>
      </x:c>
      <x:c r="O11" s="1" t="str">
        <x:v>DL|UL|UL|UL|</x:v>
      </x:c>
      <x:c r="P11" s="1" t="n">
        <x:v>1400</x:v>
      </x:c>
      <x:c r="Q11" s="1" t="n">
        <x:v>1048576</x:v>
      </x:c>
      <x:c r="R11" s="1" t="n">
        <x:v>42</x:v>
      </x:c>
      <x:c r="S11" s="1" t="n">
        <x:v>2</x:v>
      </x:c>
      <x:c r="T11" s="1" t="n">
        <x:v>203.9995104</x:v>
      </x:c>
      <x:c r="U11" s="1" t="n">
        <x:v>199.99952</x:v>
      </x:c>
      <x:c r="V11" s="1" t="n">
        <x:v>3.651378574</x:v>
      </x:c>
      <x:c r="W11" s="1" t="n">
        <x:v>0.099051227</x:v>
      </x:c>
      <x:c r="X11" s="1" t="n">
        <x:v>0</x:v>
      </x:c>
      <x:c r="Y11" s="1" t="n">
        <x:v>178571</x:v>
      </x:c>
      <x:c r="Z11" s="1" t="n">
        <x:v>178571</x:v>
      </x:c>
      <x:c r="AA11" s="1" t="n">
        <x:v>254999388</x:v>
      </x:c>
      <x:c r="AB11" s="1" t="n">
        <x:v>0</x:v>
      </x:c>
    </x:row>
    <x:row r="12" ht="21" customHeight="1">
      <x:c r="A12" s="1" t="str">
        <x:v>success</x:v>
      </x:c>
      <x:c r="B12" s="1" t="n">
        <x:v>1</x:v>
      </x:c>
      <x:c r="C12" s="1" t="str">
        <x:v>packet_200bytes_run_3</x:v>
      </x:c>
      <x:c r="D12" s="1" t="n">
        <x:v>92</x:v>
      </x:c>
      <x:c r="E12" s="1" t="str">
        <x:v>ns3</x:v>
      </x:c>
      <x:c r="F12" s="1" t="str">
        <x:v>experiments/execution_92/experiment_1/config.json</x:v>
      </x:c>
      <x:c r="G12" s="1" t="str">
        <x:v>experiments/execution_92/experiment_1/results.json</x:v>
      </x:c>
      <x:c r="H12" s="1" t="str">
        <x:v>/home/dinos/ns-allinone-3.47/ns-3.47/experiments/execution_92/experiment_1</x:v>
      </x:c>
      <x:c r="I12" s="1" t="n">
        <x:v>100</x:v>
      </x:c>
      <x:c r="J12" s="1" t="n">
        <x:v>100.3605998</x:v>
      </x:c>
      <x:c r="K12" s="1" t="n">
        <x:v>10</x:v>
      </x:c>
      <x:c r="L12" s="1" t="n">
        <x:v>200</x:v>
      </x:c>
      <x:c r="M12" s="1" t="n">
        <x:v>100000000</x:v>
      </x:c>
      <x:c r="N12" s="1" t="n">
        <x:v>2</x:v>
      </x:c>
      <x:c r="O12" s="1" t="str">
        <x:v>DL|UL|UL|UL|</x:v>
      </x:c>
      <x:c r="P12" s="1" t="n">
        <x:v>200</x:v>
      </x:c>
      <x:c r="Q12" s="1" t="n">
        <x:v>1048576</x:v>
      </x:c>
      <x:c r="R12" s="1" t="n">
        <x:v>42</x:v>
      </x:c>
      <x:c r="S12" s="1" t="n">
        <x:v>3</x:v>
      </x:c>
      <x:c r="T12" s="1" t="n">
        <x:v>227.9998176</x:v>
      </x:c>
      <x:c r="U12" s="1" t="n">
        <x:v>199.99984</x:v>
      </x:c>
      <x:c r="V12" s="1" t="n">
        <x:v>3.79069616</x:v>
      </x:c>
      <x:c r="W12" s="1" t="n">
        <x:v>0.015339132</x:v>
      </x:c>
      <x:c r="X12" s="1" t="n">
        <x:v>0</x:v>
      </x:c>
      <x:c r="Y12" s="1" t="n">
        <x:v>1249999</x:v>
      </x:c>
      <x:c r="Z12" s="1" t="n">
        <x:v>1249999</x:v>
      </x:c>
      <x:c r="AA12" s="1" t="n">
        <x:v>284999772</x:v>
      </x:c>
      <x:c r="AB12" s="1" t="n">
        <x:v>0</x:v>
      </x:c>
    </x:row>
    <x:row r="13" ht="21" customHeight="1">
      <x:c r="A13" s="1" t="str">
        <x:v>success</x:v>
      </x:c>
      <x:c r="B13" s="1" t="n">
        <x:v>2</x:v>
      </x:c>
      <x:c r="C13" s="1" t="str">
        <x:v>packet_500bytes_run_3</x:v>
      </x:c>
      <x:c r="D13" s="1" t="n">
        <x:v>92</x:v>
      </x:c>
      <x:c r="E13" s="1" t="str">
        <x:v>ns3</x:v>
      </x:c>
      <x:c r="F13" s="1" t="str">
        <x:v>experiments/execution_92/experiment_2/config.json</x:v>
      </x:c>
      <x:c r="G13" s="1" t="str">
        <x:v>experiments/execution_92/experiment_2/results.json</x:v>
      </x:c>
      <x:c r="H13" s="1" t="str">
        <x:v>/home/dinos/ns-allinone-3.47/ns-3.47/experiments/execution_92/experiment_2</x:v>
      </x:c>
      <x:c r="I13" s="1" t="n">
        <x:v>100</x:v>
      </x:c>
      <x:c r="J13" s="1" t="n">
        <x:v>100.3605998</x:v>
      </x:c>
      <x:c r="K13" s="1" t="n">
        <x:v>10</x:v>
      </x:c>
      <x:c r="L13" s="1" t="n">
        <x:v>200</x:v>
      </x:c>
      <x:c r="M13" s="1" t="n">
        <x:v>100000000</x:v>
      </x:c>
      <x:c r="N13" s="1" t="n">
        <x:v>2</x:v>
      </x:c>
      <x:c r="O13" s="1" t="str">
        <x:v>DL|UL|UL|UL|</x:v>
      </x:c>
      <x:c r="P13" s="1" t="n">
        <x:v>500</x:v>
      </x:c>
      <x:c r="Q13" s="1" t="n">
        <x:v>1048576</x:v>
      </x:c>
      <x:c r="R13" s="1" t="n">
        <x:v>42</x:v>
      </x:c>
      <x:c r="S13" s="1" t="n">
        <x:v>3</x:v>
      </x:c>
      <x:c r="T13" s="1" t="n">
        <x:v>211.1995776</x:v>
      </x:c>
      <x:c r="U13" s="1" t="n">
        <x:v>199.9996</x:v>
      </x:c>
      <x:c r="V13" s="1" t="n">
        <x:v>3.62865469</x:v>
      </x:c>
      <x:c r="W13" s="1" t="n">
        <x:v>0.037680393</x:v>
      </x:c>
      <x:c r="X13" s="1" t="n">
        <x:v>0</x:v>
      </x:c>
      <x:c r="Y13" s="1" t="n">
        <x:v>499999</x:v>
      </x:c>
      <x:c r="Z13" s="1" t="n">
        <x:v>499999</x:v>
      </x:c>
      <x:c r="AA13" s="1" t="n">
        <x:v>263999472</x:v>
      </x:c>
      <x:c r="AB13" s="1" t="n">
        <x:v>0</x:v>
      </x:c>
    </x:row>
    <x:row r="14" ht="21" customHeight="1">
      <x:c r="A14" s="1" t="str">
        <x:v>success</x:v>
      </x:c>
      <x:c r="B14" s="1" t="n">
        <x:v>3</x:v>
      </x:c>
      <x:c r="C14" s="1" t="str">
        <x:v>packet_1000bytes_run_3</x:v>
      </x:c>
      <x:c r="D14" s="1" t="n">
        <x:v>92</x:v>
      </x:c>
      <x:c r="E14" s="1" t="str">
        <x:v>ns3</x:v>
      </x:c>
      <x:c r="F14" s="1" t="str">
        <x:v>experiments/execution_92/experiment_3/config.json</x:v>
      </x:c>
      <x:c r="G14" s="1" t="str">
        <x:v>experiments/execution_92/experiment_3/results.json</x:v>
      </x:c>
      <x:c r="H14" s="1" t="str">
        <x:v>/home/dinos/ns-allinone-3.47/ns-3.47/experiments/execution_92/experiment_3</x:v>
      </x:c>
      <x:c r="I14" s="1" t="n">
        <x:v>100</x:v>
      </x:c>
      <x:c r="J14" s="1" t="n">
        <x:v>100.3605998</x:v>
      </x:c>
      <x:c r="K14" s="1" t="n">
        <x:v>10</x:v>
      </x:c>
      <x:c r="L14" s="1" t="n">
        <x:v>200</x:v>
      </x:c>
      <x:c r="M14" s="1" t="n">
        <x:v>100000000</x:v>
      </x:c>
      <x:c r="N14" s="1" t="n">
        <x:v>2</x:v>
      </x:c>
      <x:c r="O14" s="1" t="str">
        <x:v>DL|UL|UL|UL|</x:v>
      </x:c>
      <x:c r="P14" s="1" t="n">
        <x:v>1000</x:v>
      </x:c>
      <x:c r="Q14" s="1" t="n">
        <x:v>1048576</x:v>
      </x:c>
      <x:c r="R14" s="1" t="n">
        <x:v>42</x:v>
      </x:c>
      <x:c r="S14" s="1" t="n">
        <x:v>3</x:v>
      </x:c>
      <x:c r="T14" s="1" t="n">
        <x:v>205.5991776</x:v>
      </x:c>
      <x:c r="U14" s="1" t="n">
        <x:v>199.9992</x:v>
      </x:c>
      <x:c r="V14" s="1" t="n">
        <x:v>3.625895581</x:v>
      </x:c>
      <x:c r="W14" s="1" t="n">
        <x:v>0.072797382</x:v>
      </x:c>
      <x:c r="X14" s="1" t="n">
        <x:v>0</x:v>
      </x:c>
      <x:c r="Y14" s="1" t="n">
        <x:v>249999</x:v>
      </x:c>
      <x:c r="Z14" s="1" t="n">
        <x:v>249999</x:v>
      </x:c>
      <x:c r="AA14" s="1" t="n">
        <x:v>256998972</x:v>
      </x:c>
      <x:c r="AB14" s="1" t="n">
        <x:v>0</x:v>
      </x:c>
    </x:row>
    <x:row r="15" ht="21" customHeight="1">
      <x:c r="A15" s="1" t="str">
        <x:v>success</x:v>
      </x:c>
      <x:c r="B15" s="1" t="n">
        <x:v>4</x:v>
      </x:c>
      <x:c r="C15" s="1" t="str">
        <x:v>packet_1400bytes_run_3</x:v>
      </x:c>
      <x:c r="D15" s="1" t="n">
        <x:v>92</x:v>
      </x:c>
      <x:c r="E15" s="1" t="str">
        <x:v>ns3</x:v>
      </x:c>
      <x:c r="F15" s="1" t="str">
        <x:v>experiments/execution_92/experiment_4/config.json</x:v>
      </x:c>
      <x:c r="G15" s="1" t="str">
        <x:v>experiments/execution_92/experiment_4/results.json</x:v>
      </x:c>
      <x:c r="H15" s="1" t="str">
        <x:v>/home/dinos/ns-allinone-3.47/ns-3.47/experiments/execution_92/experiment_4</x:v>
      </x:c>
      <x:c r="I15" s="1" t="n">
        <x:v>100</x:v>
      </x:c>
      <x:c r="J15" s="1" t="n">
        <x:v>100.3605998</x:v>
      </x:c>
      <x:c r="K15" s="1" t="n">
        <x:v>10</x:v>
      </x:c>
      <x:c r="L15" s="1" t="n">
        <x:v>200</x:v>
      </x:c>
      <x:c r="M15" s="1" t="n">
        <x:v>100000000</x:v>
      </x:c>
      <x:c r="N15" s="1" t="n">
        <x:v>2</x:v>
      </x:c>
      <x:c r="O15" s="1" t="str">
        <x:v>DL|UL|UL|UL|</x:v>
      </x:c>
      <x:c r="P15" s="1" t="n">
        <x:v>1400</x:v>
      </x:c>
      <x:c r="Q15" s="1" t="n">
        <x:v>1048576</x:v>
      </x:c>
      <x:c r="R15" s="1" t="n">
        <x:v>42</x:v>
      </x:c>
      <x:c r="S15" s="1" t="n">
        <x:v>3</x:v>
      </x:c>
      <x:c r="T15" s="1" t="n">
        <x:v>203.9995104</x:v>
      </x:c>
      <x:c r="U15" s="1" t="n">
        <x:v>199.99952</x:v>
      </x:c>
      <x:c r="V15" s="1" t="n">
        <x:v>3.653905933</x:v>
      </x:c>
      <x:c r="W15" s="1" t="n">
        <x:v>0.098973595</x:v>
      </x:c>
      <x:c r="X15" s="1" t="n">
        <x:v>0</x:v>
      </x:c>
      <x:c r="Y15" s="1" t="n">
        <x:v>178571</x:v>
      </x:c>
      <x:c r="Z15" s="1" t="n">
        <x:v>178571</x:v>
      </x:c>
      <x:c r="AA15" s="1" t="n">
        <x:v>254999388</x:v>
      </x:c>
      <x:c r="AB15" s="1" t="n">
        <x:v>0</x:v>
      </x:c>
    </x:row>
    <x:row r="16" ht="21" customHeight="1">
      <x:c r="A16" s="1" t="str">
        <x:v>success</x:v>
      </x:c>
      <x:c r="B16" s="1" t="n">
        <x:v>1</x:v>
      </x:c>
      <x:c r="C16" s="1" t="str">
        <x:v>packet_200bytes_run_4</x:v>
      </x:c>
      <x:c r="D16" s="1" t="n">
        <x:v>93</x:v>
      </x:c>
      <x:c r="E16" s="1" t="str">
        <x:v>ns3</x:v>
      </x:c>
      <x:c r="F16" s="1" t="str">
        <x:v>experiments/execution_93/experiment_1/config.json</x:v>
      </x:c>
      <x:c r="G16" s="1" t="str">
        <x:v>experiments/execution_93/experiment_1/results.json</x:v>
      </x:c>
      <x:c r="H16" s="1" t="str">
        <x:v>/home/dinos/ns-allinone-3.47/ns-3.47/experiments/execution_93/experiment_1</x:v>
      </x:c>
      <x:c r="I16" s="1" t="n">
        <x:v>100</x:v>
      </x:c>
      <x:c r="J16" s="1" t="n">
        <x:v>100.3605998</x:v>
      </x:c>
      <x:c r="K16" s="1" t="n">
        <x:v>10</x:v>
      </x:c>
      <x:c r="L16" s="1" t="n">
        <x:v>200</x:v>
      </x:c>
      <x:c r="M16" s="1" t="n">
        <x:v>100000000</x:v>
      </x:c>
      <x:c r="N16" s="1" t="n">
        <x:v>2</x:v>
      </x:c>
      <x:c r="O16" s="1" t="str">
        <x:v>DL|UL|UL|UL|</x:v>
      </x:c>
      <x:c r="P16" s="1" t="n">
        <x:v>200</x:v>
      </x:c>
      <x:c r="Q16" s="1" t="n">
        <x:v>1048576</x:v>
      </x:c>
      <x:c r="R16" s="1" t="n">
        <x:v>42</x:v>
      </x:c>
      <x:c r="S16" s="1" t="n">
        <x:v>4</x:v>
      </x:c>
      <x:c r="T16" s="1" t="n">
        <x:v>227.9998176</x:v>
      </x:c>
      <x:c r="U16" s="1" t="n">
        <x:v>199.99984</x:v>
      </x:c>
      <x:c r="V16" s="1" t="n">
        <x:v>3.804314763</x:v>
      </x:c>
      <x:c r="W16" s="1" t="n">
        <x:v>0.015339949</x:v>
      </x:c>
      <x:c r="X16" s="1" t="n">
        <x:v>0</x:v>
      </x:c>
      <x:c r="Y16" s="1" t="n">
        <x:v>1249999</x:v>
      </x:c>
      <x:c r="Z16" s="1" t="n">
        <x:v>1249999</x:v>
      </x:c>
      <x:c r="AA16" s="1" t="n">
        <x:v>284999772</x:v>
      </x:c>
      <x:c r="AB16" s="1" t="n">
        <x:v>0</x:v>
      </x:c>
    </x:row>
    <x:row r="17" ht="21" customHeight="1">
      <x:c r="A17" s="1" t="str">
        <x:v>success</x:v>
      </x:c>
      <x:c r="B17" s="1" t="n">
        <x:v>2</x:v>
      </x:c>
      <x:c r="C17" s="1" t="str">
        <x:v>packet_500bytes_run_4</x:v>
      </x:c>
      <x:c r="D17" s="1" t="n">
        <x:v>93</x:v>
      </x:c>
      <x:c r="E17" s="1" t="str">
        <x:v>ns3</x:v>
      </x:c>
      <x:c r="F17" s="1" t="str">
        <x:v>experiments/execution_93/experiment_2/config.json</x:v>
      </x:c>
      <x:c r="G17" s="1" t="str">
        <x:v>experiments/execution_93/experiment_2/results.json</x:v>
      </x:c>
      <x:c r="H17" s="1" t="str">
        <x:v>/home/dinos/ns-allinone-3.47/ns-3.47/experiments/execution_93/experiment_2</x:v>
      </x:c>
      <x:c r="I17" s="1" t="n">
        <x:v>100</x:v>
      </x:c>
      <x:c r="J17" s="1" t="n">
        <x:v>100.3605998</x:v>
      </x:c>
      <x:c r="K17" s="1" t="n">
        <x:v>10</x:v>
      </x:c>
      <x:c r="L17" s="1" t="n">
        <x:v>200</x:v>
      </x:c>
      <x:c r="M17" s="1" t="n">
        <x:v>100000000</x:v>
      </x:c>
      <x:c r="N17" s="1" t="n">
        <x:v>2</x:v>
      </x:c>
      <x:c r="O17" s="1" t="str">
        <x:v>DL|UL|UL|UL|</x:v>
      </x:c>
      <x:c r="P17" s="1" t="n">
        <x:v>500</x:v>
      </x:c>
      <x:c r="Q17" s="1" t="n">
        <x:v>1048576</x:v>
      </x:c>
      <x:c r="R17" s="1" t="n">
        <x:v>42</x:v>
      </x:c>
      <x:c r="S17" s="1" t="n">
        <x:v>4</x:v>
      </x:c>
      <x:c r="T17" s="1" t="n">
        <x:v>211.1995776</x:v>
      </x:c>
      <x:c r="U17" s="1" t="n">
        <x:v>199.9996</x:v>
      </x:c>
      <x:c r="V17" s="1" t="n">
        <x:v>3.637542723</x:v>
      </x:c>
      <x:c r="W17" s="1" t="n">
        <x:v>0.037682822</x:v>
      </x:c>
      <x:c r="X17" s="1" t="n">
        <x:v>0</x:v>
      </x:c>
      <x:c r="Y17" s="1" t="n">
        <x:v>499999</x:v>
      </x:c>
      <x:c r="Z17" s="1" t="n">
        <x:v>499999</x:v>
      </x:c>
      <x:c r="AA17" s="1" t="n">
        <x:v>263999472</x:v>
      </x:c>
      <x:c r="AB17" s="1" t="n">
        <x:v>0</x:v>
      </x:c>
    </x:row>
    <x:row r="18" ht="21" customHeight="1">
      <x:c r="A18" s="1" t="str">
        <x:v>success</x:v>
      </x:c>
      <x:c r="B18" s="1" t="n">
        <x:v>3</x:v>
      </x:c>
      <x:c r="C18" s="1" t="str">
        <x:v>packet_1000bytes_run_4</x:v>
      </x:c>
      <x:c r="D18" s="1" t="n">
        <x:v>93</x:v>
      </x:c>
      <x:c r="E18" s="1" t="str">
        <x:v>ns3</x:v>
      </x:c>
      <x:c r="F18" s="1" t="str">
        <x:v>experiments/execution_93/experiment_3/config.json</x:v>
      </x:c>
      <x:c r="G18" s="1" t="str">
        <x:v>experiments/execution_93/experiment_3/results.json</x:v>
      </x:c>
      <x:c r="H18" s="1" t="str">
        <x:v>/home/dinos/ns-allinone-3.47/ns-3.47/experiments/execution_93/experiment_3</x:v>
      </x:c>
      <x:c r="I18" s="1" t="n">
        <x:v>100</x:v>
      </x:c>
      <x:c r="J18" s="1" t="n">
        <x:v>100.3605998</x:v>
      </x:c>
      <x:c r="K18" s="1" t="n">
        <x:v>10</x:v>
      </x:c>
      <x:c r="L18" s="1" t="n">
        <x:v>200</x:v>
      </x:c>
      <x:c r="M18" s="1" t="n">
        <x:v>100000000</x:v>
      </x:c>
      <x:c r="N18" s="1" t="n">
        <x:v>2</x:v>
      </x:c>
      <x:c r="O18" s="1" t="str">
        <x:v>DL|UL|UL|UL|</x:v>
      </x:c>
      <x:c r="P18" s="1" t="n">
        <x:v>1000</x:v>
      </x:c>
      <x:c r="Q18" s="1" t="n">
        <x:v>1048576</x:v>
      </x:c>
      <x:c r="R18" s="1" t="n">
        <x:v>42</x:v>
      </x:c>
      <x:c r="S18" s="1" t="n">
        <x:v>4</x:v>
      </x:c>
      <x:c r="T18" s="1" t="n">
        <x:v>205.5991776</x:v>
      </x:c>
      <x:c r="U18" s="1" t="n">
        <x:v>199.9992</x:v>
      </x:c>
      <x:c r="V18" s="1" t="n">
        <x:v>3.636891494</x:v>
      </x:c>
      <x:c r="W18" s="1" t="n">
        <x:v>0.072796036</x:v>
      </x:c>
      <x:c r="X18" s="1" t="n">
        <x:v>0</x:v>
      </x:c>
      <x:c r="Y18" s="1" t="n">
        <x:v>249999</x:v>
      </x:c>
      <x:c r="Z18" s="1" t="n">
        <x:v>249999</x:v>
      </x:c>
      <x:c r="AA18" s="1" t="n">
        <x:v>256998972</x:v>
      </x:c>
      <x:c r="AB18" s="1" t="n">
        <x:v>0</x:v>
      </x:c>
    </x:row>
    <x:row r="19" ht="21" customHeight="1">
      <x:c r="A19" s="1" t="str">
        <x:v>success</x:v>
      </x:c>
      <x:c r="B19" s="1" t="n">
        <x:v>4</x:v>
      </x:c>
      <x:c r="C19" s="1" t="str">
        <x:v>packet_1400bytes_run_4</x:v>
      </x:c>
      <x:c r="D19" s="1" t="n">
        <x:v>93</x:v>
      </x:c>
      <x:c r="E19" s="1" t="str">
        <x:v>ns3</x:v>
      </x:c>
      <x:c r="F19" s="1" t="str">
        <x:v>experiments/execution_93/experiment_4/config.json</x:v>
      </x:c>
      <x:c r="G19" s="1" t="str">
        <x:v>experiments/execution_93/experiment_4/results.json</x:v>
      </x:c>
      <x:c r="H19" s="1" t="str">
        <x:v>/home/dinos/ns-allinone-3.47/ns-3.47/experiments/execution_93/experiment_4</x:v>
      </x:c>
      <x:c r="I19" s="1" t="n">
        <x:v>100</x:v>
      </x:c>
      <x:c r="J19" s="1" t="n">
        <x:v>100.3605998</x:v>
      </x:c>
      <x:c r="K19" s="1" t="n">
        <x:v>10</x:v>
      </x:c>
      <x:c r="L19" s="1" t="n">
        <x:v>200</x:v>
      </x:c>
      <x:c r="M19" s="1" t="n">
        <x:v>100000000</x:v>
      </x:c>
      <x:c r="N19" s="1" t="n">
        <x:v>2</x:v>
      </x:c>
      <x:c r="O19" s="1" t="str">
        <x:v>DL|UL|UL|UL|</x:v>
      </x:c>
      <x:c r="P19" s="1" t="n">
        <x:v>1400</x:v>
      </x:c>
      <x:c r="Q19" s="1" t="n">
        <x:v>1048576</x:v>
      </x:c>
      <x:c r="R19" s="1" t="n">
        <x:v>42</x:v>
      </x:c>
      <x:c r="S19" s="1" t="n">
        <x:v>4</x:v>
      </x:c>
      <x:c r="T19" s="1" t="n">
        <x:v>203.9995104</x:v>
      </x:c>
      <x:c r="U19" s="1" t="n">
        <x:v>199.99952</x:v>
      </x:c>
      <x:c r="V19" s="1" t="n">
        <x:v>3.650904051</x:v>
      </x:c>
      <x:c r="W19" s="1" t="n">
        <x:v>0.099049933</x:v>
      </x:c>
      <x:c r="X19" s="1" t="n">
        <x:v>0</x:v>
      </x:c>
      <x:c r="Y19" s="1" t="n">
        <x:v>178571</x:v>
      </x:c>
      <x:c r="Z19" s="1" t="n">
        <x:v>178571</x:v>
      </x:c>
      <x:c r="AA19" s="1" t="n">
        <x:v>254999388</x:v>
      </x:c>
      <x:c r="AB19" s="1" t="n">
        <x:v>0</x:v>
      </x:c>
    </x:row>
    <x:row r="20" ht="21" customHeight="1">
      <x:c r="A20" s="1" t="str">
        <x:v>success</x:v>
      </x:c>
      <x:c r="B20" s="1" t="n">
        <x:v>1</x:v>
      </x:c>
      <x:c r="C20" s="1" t="str">
        <x:v>packet_200bytes_run_5</x:v>
      </x:c>
      <x:c r="D20" s="1" t="n">
        <x:v>94</x:v>
      </x:c>
      <x:c r="E20" s="1" t="str">
        <x:v>ns3</x:v>
      </x:c>
      <x:c r="F20" s="1" t="str">
        <x:v>experiments/execution_94/experiment_1/config.json</x:v>
      </x:c>
      <x:c r="G20" s="1" t="str">
        <x:v>experiments/execution_94/experiment_1/results.json</x:v>
      </x:c>
      <x:c r="H20" s="1" t="str">
        <x:v>/home/dinos/ns-allinone-3.47/ns-3.47/experiments/execution_94/experiment_1</x:v>
      </x:c>
      <x:c r="I20" s="1" t="n">
        <x:v>100</x:v>
      </x:c>
      <x:c r="J20" s="1" t="n">
        <x:v>100.3605998</x:v>
      </x:c>
      <x:c r="K20" s="1" t="n">
        <x:v>10</x:v>
      </x:c>
      <x:c r="L20" s="1" t="n">
        <x:v>200</x:v>
      </x:c>
      <x:c r="M20" s="1" t="n">
        <x:v>100000000</x:v>
      </x:c>
      <x:c r="N20" s="1" t="n">
        <x:v>2</x:v>
      </x:c>
      <x:c r="O20" s="1" t="str">
        <x:v>DL|UL|UL|UL|</x:v>
      </x:c>
      <x:c r="P20" s="1" t="n">
        <x:v>200</x:v>
      </x:c>
      <x:c r="Q20" s="1" t="n">
        <x:v>1048576</x:v>
      </x:c>
      <x:c r="R20" s="1" t="n">
        <x:v>42</x:v>
      </x:c>
      <x:c r="S20" s="1" t="n">
        <x:v>5</x:v>
      </x:c>
      <x:c r="T20" s="1" t="n">
        <x:v>227.9998176</x:v>
      </x:c>
      <x:c r="U20" s="1" t="n">
        <x:v>199.99984</x:v>
      </x:c>
      <x:c r="V20" s="1" t="n">
        <x:v>3.797802865</x:v>
      </x:c>
      <x:c r="W20" s="1" t="n">
        <x:v>0.015338246</x:v>
      </x:c>
      <x:c r="X20" s="1" t="n">
        <x:v>0</x:v>
      </x:c>
      <x:c r="Y20" s="1" t="n">
        <x:v>1249999</x:v>
      </x:c>
      <x:c r="Z20" s="1" t="n">
        <x:v>1249999</x:v>
      </x:c>
      <x:c r="AA20" s="1" t="n">
        <x:v>284999772</x:v>
      </x:c>
      <x:c r="AB20" s="1" t="n">
        <x:v>0</x:v>
      </x:c>
    </x:row>
    <x:row r="21" ht="21" customHeight="1">
      <x:c r="A21" s="1" t="str">
        <x:v>success</x:v>
      </x:c>
      <x:c r="B21" s="1" t="n">
        <x:v>2</x:v>
      </x:c>
      <x:c r="C21" s="1" t="str">
        <x:v>packet_500bytes_run_5</x:v>
      </x:c>
      <x:c r="D21" s="1" t="n">
        <x:v>94</x:v>
      </x:c>
      <x:c r="E21" s="1" t="str">
        <x:v>ns3</x:v>
      </x:c>
      <x:c r="F21" s="1" t="str">
        <x:v>experiments/execution_94/experiment_2/config.json</x:v>
      </x:c>
      <x:c r="G21" s="1" t="str">
        <x:v>experiments/execution_94/experiment_2/results.json</x:v>
      </x:c>
      <x:c r="H21" s="1" t="str">
        <x:v>/home/dinos/ns-allinone-3.47/ns-3.47/experiments/execution_94/experiment_2</x:v>
      </x:c>
      <x:c r="I21" s="1" t="n">
        <x:v>100</x:v>
      </x:c>
      <x:c r="J21" s="1" t="n">
        <x:v>100.3605998</x:v>
      </x:c>
      <x:c r="K21" s="1" t="n">
        <x:v>10</x:v>
      </x:c>
      <x:c r="L21" s="1" t="n">
        <x:v>200</x:v>
      </x:c>
      <x:c r="M21" s="1" t="n">
        <x:v>100000000</x:v>
      </x:c>
      <x:c r="N21" s="1" t="n">
        <x:v>2</x:v>
      </x:c>
      <x:c r="O21" s="1" t="str">
        <x:v>DL|UL|UL|UL|</x:v>
      </x:c>
      <x:c r="P21" s="1" t="n">
        <x:v>500</x:v>
      </x:c>
      <x:c r="Q21" s="1" t="n">
        <x:v>1048576</x:v>
      </x:c>
      <x:c r="R21" s="1" t="n">
        <x:v>42</x:v>
      </x:c>
      <x:c r="S21" s="1" t="n">
        <x:v>5</x:v>
      </x:c>
      <x:c r="T21" s="1" t="n">
        <x:v>211.1995776</x:v>
      </x:c>
      <x:c r="U21" s="1" t="n">
        <x:v>199.9996</x:v>
      </x:c>
      <x:c r="V21" s="1" t="n">
        <x:v>3.642996598</x:v>
      </x:c>
      <x:c r="W21" s="1" t="n">
        <x:v>0.037688837</x:v>
      </x:c>
      <x:c r="X21" s="1" t="n">
        <x:v>0</x:v>
      </x:c>
      <x:c r="Y21" s="1" t="n">
        <x:v>499999</x:v>
      </x:c>
      <x:c r="Z21" s="1" t="n">
        <x:v>499999</x:v>
      </x:c>
      <x:c r="AA21" s="1" t="n">
        <x:v>263999472</x:v>
      </x:c>
      <x:c r="AB21" s="1" t="n">
        <x:v>0</x:v>
      </x:c>
    </x:row>
    <x:row r="22" ht="21" customHeight="1">
      <x:c r="A22" s="1" t="str">
        <x:v>success</x:v>
      </x:c>
      <x:c r="B22" s="1" t="n">
        <x:v>3</x:v>
      </x:c>
      <x:c r="C22" s="1" t="str">
        <x:v>packet_1000bytes_run_5</x:v>
      </x:c>
      <x:c r="D22" s="1" t="n">
        <x:v>94</x:v>
      </x:c>
      <x:c r="E22" s="1" t="str">
        <x:v>ns3</x:v>
      </x:c>
      <x:c r="F22" s="1" t="str">
        <x:v>experiments/execution_94/experiment_3/config.json</x:v>
      </x:c>
      <x:c r="G22" s="1" t="str">
        <x:v>experiments/execution_94/experiment_3/results.json</x:v>
      </x:c>
      <x:c r="H22" s="1" t="str">
        <x:v>/home/dinos/ns-allinone-3.47/ns-3.47/experiments/execution_94/experiment_3</x:v>
      </x:c>
      <x:c r="I22" s="1" t="n">
        <x:v>100</x:v>
      </x:c>
      <x:c r="J22" s="1" t="n">
        <x:v>100.3605998</x:v>
      </x:c>
      <x:c r="K22" s="1" t="n">
        <x:v>10</x:v>
      </x:c>
      <x:c r="L22" s="1" t="n">
        <x:v>200</x:v>
      </x:c>
      <x:c r="M22" s="1" t="n">
        <x:v>100000000</x:v>
      </x:c>
      <x:c r="N22" s="1" t="n">
        <x:v>2</x:v>
      </x:c>
      <x:c r="O22" s="1" t="str">
        <x:v>DL|UL|UL|UL|</x:v>
      </x:c>
      <x:c r="P22" s="1" t="n">
        <x:v>1000</x:v>
      </x:c>
      <x:c r="Q22" s="1" t="n">
        <x:v>1048576</x:v>
      </x:c>
      <x:c r="R22" s="1" t="n">
        <x:v>42</x:v>
      </x:c>
      <x:c r="S22" s="1" t="n">
        <x:v>5</x:v>
      </x:c>
      <x:c r="T22" s="1" t="n">
        <x:v>205.5991776</x:v>
      </x:c>
      <x:c r="U22" s="1" t="n">
        <x:v>199.9992</x:v>
      </x:c>
      <x:c r="V22" s="1" t="n">
        <x:v>3.625681817</x:v>
      </x:c>
      <x:c r="W22" s="1" t="n">
        <x:v>0.072788449</x:v>
      </x:c>
      <x:c r="X22" s="1" t="n">
        <x:v>0</x:v>
      </x:c>
      <x:c r="Y22" s="1" t="n">
        <x:v>249999</x:v>
      </x:c>
      <x:c r="Z22" s="1" t="n">
        <x:v>249999</x:v>
      </x:c>
      <x:c r="AA22" s="1" t="n">
        <x:v>256998972</x:v>
      </x:c>
      <x:c r="AB22" s="1" t="n">
        <x:v>0</x:v>
      </x:c>
    </x:row>
    <x:row r="23" ht="21" customHeight="1">
      <x:c r="A23" s="1" t="str">
        <x:v>success</x:v>
      </x:c>
      <x:c r="B23" s="1" t="n">
        <x:v>4</x:v>
      </x:c>
      <x:c r="C23" s="1" t="str">
        <x:v>packet_1400bytes_run_5</x:v>
      </x:c>
      <x:c r="D23" s="1" t="n">
        <x:v>94</x:v>
      </x:c>
      <x:c r="E23" s="1" t="str">
        <x:v>ns3</x:v>
      </x:c>
      <x:c r="F23" s="1" t="str">
        <x:v>experiments/execution_94/experiment_4/config.json</x:v>
      </x:c>
      <x:c r="G23" s="1" t="str">
        <x:v>experiments/execution_94/experiment_4/results.json</x:v>
      </x:c>
      <x:c r="H23" s="1" t="str">
        <x:v>/home/dinos/ns-allinone-3.47/ns-3.47/experiments/execution_94/experiment_4</x:v>
      </x:c>
      <x:c r="I23" s="1" t="n">
        <x:v>100</x:v>
      </x:c>
      <x:c r="J23" s="1" t="n">
        <x:v>100.3605998</x:v>
      </x:c>
      <x:c r="K23" s="1" t="n">
        <x:v>10</x:v>
      </x:c>
      <x:c r="L23" s="1" t="n">
        <x:v>200</x:v>
      </x:c>
      <x:c r="M23" s="1" t="n">
        <x:v>100000000</x:v>
      </x:c>
      <x:c r="N23" s="1" t="n">
        <x:v>2</x:v>
      </x:c>
      <x:c r="O23" s="1" t="str">
        <x:v>DL|UL|UL|UL|</x:v>
      </x:c>
      <x:c r="P23" s="1" t="n">
        <x:v>1400</x:v>
      </x:c>
      <x:c r="Q23" s="1" t="n">
        <x:v>1048576</x:v>
      </x:c>
      <x:c r="R23" s="1" t="n">
        <x:v>42</x:v>
      </x:c>
      <x:c r="S23" s="1" t="n">
        <x:v>5</x:v>
      </x:c>
      <x:c r="T23" s="1" t="n">
        <x:v>203.9995104</x:v>
      </x:c>
      <x:c r="U23" s="1" t="n">
        <x:v>199.99952</x:v>
      </x:c>
      <x:c r="V23" s="1" t="n">
        <x:v>3.644096886</x:v>
      </x:c>
      <x:c r="W23" s="1" t="n">
        <x:v>0.09911271</x:v>
      </x:c>
      <x:c r="X23" s="1" t="n">
        <x:v>0</x:v>
      </x:c>
      <x:c r="Y23" s="1" t="n">
        <x:v>178571</x:v>
      </x:c>
      <x:c r="Z23" s="1" t="n">
        <x:v>178571</x:v>
      </x:c>
      <x:c r="AA23" s="1" t="n">
        <x:v>254999388</x:v>
      </x:c>
      <x:c r="AB23" s="1" t="n">
        <x:v>0</x:v>
      </x:c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