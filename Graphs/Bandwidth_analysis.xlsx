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07715d457448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dwidth" sheetId="1" r:id="Rb9c25cb2b4b744e1"/>
    <x:sheet xmlns:r="http://schemas.openxmlformats.org/officeDocument/2006/relationships" name="Raw data" sheetId="2" r:id="R249b35c33d2a41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"/>
    <x:numFmt numFmtId="201" formatCode="0.00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6"/>
      <x:color rgb="FF17365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3289ad0bfd4411" /><Relationship Type="http://schemas.openxmlformats.org/officeDocument/2006/relationships/theme" Target="/xl/theme/theme1.xml" Id="R0704d00b81954fe7" /><Relationship Type="http://schemas.openxmlformats.org/officeDocument/2006/relationships/sharedStrings" Target="/xl/sharedStrings.xml" Id="R1885679a0fe54f5c" /><Relationship Type="http://schemas.openxmlformats.org/officeDocument/2006/relationships/worksheet" Target="/xl/worksheets/sheet1.xml" Id="Rb9c25cb2b4b744e1" /><Relationship Type="http://schemas.openxmlformats.org/officeDocument/2006/relationships/worksheet" Target="/xl/worksheets/sheet2.xml" Id="R249b35c33d2a413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277ab91e8bb4d8b" /><Relationship Type="http://schemas.openxmlformats.org/officeDocument/2006/relationships/chart" Target="/xl/drawings/charts/chart2.xml" Id="Rc228addd1b224b5e" /><Relationship Type="http://schemas.openxmlformats.org/officeDocument/2006/relationships/chart" Target="/xl/drawings/charts/chart3.xml" Id="R457d867b3a874f28" /><Relationship Type="http://schemas.openxmlformats.org/officeDocument/2006/relationships/chart" Target="/xl/drawings/charts/chart4.xml" Id="R6686798337ce46d8" /></Relationships>
</file>

<file path=xl/drawings/charts/chart1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Throughput and goodput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ser>
          <c:idx val="0"/>
          <c:order val="0"/>
          <c:tx>
            <c:v>Throughput (Mbps)</c:v>
          </c:tx>
          <c:spPr>
            <a:solidFill>
              <a:srgbClr val="2166AC"/>
            </a:solidFill>
            <a:ln w="19050">
              <a:solidFill>
                <a:srgbClr val="2166AC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'Bandwidth'!$G$58:$G$62</c:f>
                <c:numCache>
                  <c:formatCode>0.000000</c:formatCode>
                  <c:ptCount val="5"/>
                  <c:pt idx="0">
                    <c:v>0.0</c:v>
                  </c:pt>
                  <c:pt idx="1">
                    <c:v>0.17008836006396086</c:v>
                  </c:pt>
                  <c:pt idx="2">
                    <c:v>0.2649222890554882</c:v>
                  </c:pt>
                  <c:pt idx="3">
                    <c:v>0.0</c:v>
                  </c:pt>
                  <c:pt idx="4">
                    <c:v>0.0</c:v>
                  </c:pt>
                </c:numCache>
              </c:numRef>
            </c:plus>
            <c:minus>
              <c:numRef>
                <c:f>'Bandwidth'!$G$58:$G$62</c:f>
                <c:numCache>
                  <c:formatCode>0.000000</c:formatCode>
                  <c:ptCount val="5"/>
                  <c:pt idx="0">
                    <c:v>0.0</c:v>
                  </c:pt>
                  <c:pt idx="1">
                    <c:v>0.17008836006396086</c:v>
                  </c:pt>
                  <c:pt idx="2">
                    <c:v>0.2649222890554882</c:v>
                  </c:pt>
                  <c:pt idx="3">
                    <c:v>0.0</c:v>
                  </c:pt>
                  <c:pt idx="4">
                    <c:v>0.0</c:v>
                  </c:pt>
                </c:numCache>
              </c:numRef>
            </c:minus>
          </c:errBars>
          <c:xVal>
            <c:numRef>
              <c:f>'Bandwidth'!$A$58:$A$62</c:f>
              <c:numCache>
                <c:formatCode>General</c:formatCode>
                <c:ptCount val="0"/>
              </c:numCache>
            </c:numRef>
          </c:xVal>
          <c:yVal>
            <c:numRef>
              <c:f>'Bandwidth'!$B$58:$B$62</c:f>
              <c:numCache>
                <c:formatCode>0.00000</c:formatCode>
                <c:ptCount val="0"/>
              </c:numCache>
            </c:numRef>
          </c:yVal>
        </c:ser>
        <c:ser>
          <c:idx val="1"/>
          <c:order val="1"/>
          <c:tx>
            <c:v>Goodput (Mbps)</c:v>
          </c:tx>
          <c:spPr>
            <a:solidFill>
              <a:srgbClr val="E28A22"/>
            </a:solidFill>
            <a:ln w="19050">
              <a:solidFill>
                <a:srgbClr val="E28A22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'Bandwidth'!$H$58:$H$62</c:f>
                <c:numCache>
                  <c:formatCode>0.000000</c:formatCode>
                  <c:ptCount val="5"/>
                  <c:pt idx="0">
                    <c:v>0.0</c:v>
                  </c:pt>
                  <c:pt idx="1">
                    <c:v>0.16675329418035137</c:v>
                  </c:pt>
                  <c:pt idx="2">
                    <c:v>0.259727734368123</c:v>
                  </c:pt>
                  <c:pt idx="3">
                    <c:v>0.0</c:v>
                  </c:pt>
                  <c:pt idx="4">
                    <c:v>0.0</c:v>
                  </c:pt>
                </c:numCache>
              </c:numRef>
            </c:plus>
            <c:minus>
              <c:numRef>
                <c:f>'Bandwidth'!$H$58:$H$62</c:f>
                <c:numCache>
                  <c:formatCode>0.000000</c:formatCode>
                  <c:ptCount val="5"/>
                  <c:pt idx="0">
                    <c:v>0.0</c:v>
                  </c:pt>
                  <c:pt idx="1">
                    <c:v>0.16675329418035137</c:v>
                  </c:pt>
                  <c:pt idx="2">
                    <c:v>0.259727734368123</c:v>
                  </c:pt>
                  <c:pt idx="3">
                    <c:v>0.0</c:v>
                  </c:pt>
                  <c:pt idx="4">
                    <c:v>0.0</c:v>
                  </c:pt>
                </c:numCache>
              </c:numRef>
            </c:minus>
          </c:errBars>
          <c:xVal>
            <c:numRef>
              <c:f>'Bandwidth'!$A$58:$A$62</c:f>
              <c:numCache>
                <c:formatCode>General</c:formatCode>
                <c:ptCount val="0"/>
              </c:numCache>
            </c:numRef>
          </c:xVal>
          <c:yVal>
            <c:numRef>
              <c:f>'Bandwidth'!$C$58:$C$62</c:f>
              <c:numCache>
                <c:formatCode>0.00000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Rate (Mbps)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Channel bandwidth (MHz)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legend>
      <c:legendPos val="b"/>
      <c:overlay val="0"/>
    </c:legend>
    <c:plotVisOnly val="1"/>
  </c:chart>
  <c:spPr>
    <a:ln w="9525">
      <a:solidFill>
        <a:srgbClr val="D9D9D9"/>
      </a:solidFill>
      <a:prstDash val="solid"/>
    </a:ln>
  </c:spPr>
</c:chartSpace>
</file>

<file path=xl/drawings/charts/chart2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End-to-end delay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ser>
          <c:idx val="0"/>
          <c:order val="0"/>
          <c:tx>
            <c:v>Delay (ms)</c:v>
          </c:tx>
          <c:spPr>
            <a:solidFill>
              <a:srgbClr val="2166AC"/>
            </a:solidFill>
            <a:ln w="19050">
              <a:solidFill>
                <a:srgbClr val="2166AC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'Bandwidth'!$I$58:$I$62</c:f>
                <c:numCache>
                  <c:formatCode>0.000000</c:formatCode>
                  <c:ptCount val="5"/>
                  <c:pt idx="0">
                    <c:v>0.0023728665687364025</c:v>
                  </c:pt>
                  <c:pt idx="1">
                    <c:v>1.542893689028553</c:v>
                  </c:pt>
                  <c:pt idx="2">
                    <c:v>9.325095841463838</c:v>
                  </c:pt>
                  <c:pt idx="3">
                    <c:v>0.02473711948692608</c:v>
                  </c:pt>
                  <c:pt idx="4">
                    <c:v>0.003964022385571858</c:v>
                  </c:pt>
                </c:numCache>
              </c:numRef>
            </c:plus>
            <c:minus>
              <c:numRef>
                <c:f>'Bandwidth'!$I$58:$I$62</c:f>
                <c:numCache>
                  <c:formatCode>0.000000</c:formatCode>
                  <c:ptCount val="5"/>
                  <c:pt idx="0">
                    <c:v>0.0023728665687364025</c:v>
                  </c:pt>
                  <c:pt idx="1">
                    <c:v>1.542893689028553</c:v>
                  </c:pt>
                  <c:pt idx="2">
                    <c:v>9.325095841463838</c:v>
                  </c:pt>
                  <c:pt idx="3">
                    <c:v>0.02473711948692608</c:v>
                  </c:pt>
                  <c:pt idx="4">
                    <c:v>0.003964022385571858</c:v>
                  </c:pt>
                </c:numCache>
              </c:numRef>
            </c:minus>
          </c:errBars>
          <c:xVal>
            <c:numRef>
              <c:f>'Bandwidth'!$A$58:$A$62</c:f>
              <c:numCache>
                <c:formatCode>General</c:formatCode>
                <c:ptCount val="0"/>
              </c:numCache>
            </c:numRef>
          </c:xVal>
          <c:yVal>
            <c:numRef>
              <c:f>'Bandwidth'!$D$58:$D$62</c:f>
              <c:numCache>
                <c:formatCode>0.00000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Delay (ms)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Channel bandwidth (MHz)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w="9525">
      <a:solidFill>
        <a:srgbClr val="D9D9D9"/>
      </a:solidFill>
      <a:prstDash val="solid"/>
    </a:ln>
  </c:spPr>
</c:chartSpace>
</file>

<file path=xl/drawings/charts/chart3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Packet loss after drain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ser>
          <c:idx val="0"/>
          <c:order val="0"/>
          <c:tx>
            <c:v>Loss (%)</c:v>
          </c:tx>
          <c:spPr>
            <a:solidFill>
              <a:srgbClr val="2166AC"/>
            </a:solidFill>
            <a:ln w="19050">
              <a:solidFill>
                <a:srgbClr val="2166AC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'Bandwidth'!$K$58:$K$62</c:f>
                <c:numCache>
                  <c:formatCode>0.000000</c:formatCode>
                  <c:ptCount val="5"/>
                  <c:pt idx="0">
                    <c:v>0.0</c:v>
                  </c:pt>
                  <c:pt idx="1">
                    <c:v>0.08337685231311494</c:v>
                  </c:pt>
                  <c:pt idx="2">
                    <c:v>0.12986417141033568</c:v>
                  </c:pt>
                  <c:pt idx="3">
                    <c:v>0.0</c:v>
                  </c:pt>
                  <c:pt idx="4">
                    <c:v>0.0</c:v>
                  </c:pt>
                </c:numCache>
              </c:numRef>
            </c:plus>
            <c:minus>
              <c:numRef>
                <c:f>'Bandwidth'!$K$58:$K$62</c:f>
                <c:numCache>
                  <c:formatCode>0.000000</c:formatCode>
                  <c:ptCount val="5"/>
                  <c:pt idx="0">
                    <c:v>0.0</c:v>
                  </c:pt>
                  <c:pt idx="1">
                    <c:v>0.08337685231311494</c:v>
                  </c:pt>
                  <c:pt idx="2">
                    <c:v>0.12986417141033568</c:v>
                  </c:pt>
                  <c:pt idx="3">
                    <c:v>0.0</c:v>
                  </c:pt>
                  <c:pt idx="4">
                    <c:v>0.0</c:v>
                  </c:pt>
                </c:numCache>
              </c:numRef>
            </c:minus>
          </c:errBars>
          <c:xVal>
            <c:numRef>
              <c:f>'Bandwidth'!$A$58:$A$62</c:f>
              <c:numCache>
                <c:formatCode>General</c:formatCode>
                <c:ptCount val="0"/>
              </c:numCache>
            </c:numRef>
          </c:xVal>
          <c:yVal>
            <c:numRef>
              <c:f>'Bandwidth'!$F$58:$F$62</c:f>
              <c:numCache>
                <c:formatCode>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Loss (%)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Channel bandwidth (MHz)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w="9525">
      <a:solidFill>
        <a:srgbClr val="D9D9D9"/>
      </a:solidFill>
      <a:prstDash val="solid"/>
    </a:ln>
  </c:spPr>
</c:chartSpace>
</file>

<file path=xl/drawings/charts/chart4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Jitter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ser>
          <c:idx val="0"/>
          <c:order val="0"/>
          <c:tx>
            <c:v>Jitter (ms)</c:v>
          </c:tx>
          <c:spPr>
            <a:solidFill>
              <a:srgbClr val="2166AC"/>
            </a:solidFill>
            <a:ln w="19050">
              <a:solidFill>
                <a:srgbClr val="2166AC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'Bandwidth'!$J$58:$J$62</c:f>
                <c:numCache>
                  <c:formatCode>0.000000</c:formatCode>
                  <c:ptCount val="5"/>
                  <c:pt idx="0">
                    <c:v>0.0006429317167999327</c:v>
                  </c:pt>
                  <c:pt idx="1">
                    <c:v>0.0007912372439083666</c:v>
                  </c:pt>
                  <c:pt idx="2">
                    <c:v>0.0011852496243202491</c:v>
                  </c:pt>
                  <c:pt idx="3">
                    <c:v>3.5896600827932284e-05</c:v>
                  </c:pt>
                  <c:pt idx="4">
                    <c:v>4.979712989520944e-05</c:v>
                  </c:pt>
                </c:numCache>
              </c:numRef>
            </c:plus>
            <c:minus>
              <c:numRef>
                <c:f>'Bandwidth'!$J$58:$J$62</c:f>
                <c:numCache>
                  <c:formatCode>0.000000</c:formatCode>
                  <c:ptCount val="5"/>
                  <c:pt idx="0">
                    <c:v>0.0006429317167999327</c:v>
                  </c:pt>
                  <c:pt idx="1">
                    <c:v>0.0007912372439083666</c:v>
                  </c:pt>
                  <c:pt idx="2">
                    <c:v>0.0011852496243202491</c:v>
                  </c:pt>
                  <c:pt idx="3">
                    <c:v>3.5896600827932284e-05</c:v>
                  </c:pt>
                  <c:pt idx="4">
                    <c:v>4.979712989520944e-05</c:v>
                  </c:pt>
                </c:numCache>
              </c:numRef>
            </c:minus>
          </c:errBars>
          <c:xVal>
            <c:numRef>
              <c:f>'Bandwidth'!$A$58:$A$62</c:f>
              <c:numCache>
                <c:formatCode>General</c:formatCode>
                <c:ptCount val="0"/>
              </c:numCache>
            </c:numRef>
          </c:xVal>
          <c:yVal>
            <c:numRef>
              <c:f>'Bandwidth'!$E$58:$E$62</c:f>
              <c:numCache>
                <c:formatCode>0.00000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Jitter (ms)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Channel bandwidth (MHz)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9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77ab91e8bb4d8b"/>
        </a:graphicData>
      </a:graphic>
    </xdr:graphicFrame>
    <xdr:clientData/>
  </xdr:twoCellAnchor>
  <xdr:twoCellAnchor>
    <xdr:from>
      <xdr:col>9</xdr:col>
      <xdr:colOff>0</xdr:colOff>
      <xdr:row>9</xdr:row>
      <xdr:rowOff>0</xdr:rowOff>
    </xdr:from>
    <xdr:to>
      <xdr:col>18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28addd1b224b5e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9</xdr:col>
      <xdr:colOff>0</xdr:colOff>
      <xdr:row>56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7d867b3a874f28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18</xdr:col>
      <xdr:colOff>0</xdr:colOff>
      <xdr:row>56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86798337ce46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7a75a5364bc4e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</x:row>
    <x:row r="2" ht="21" customHeight="1">
      <x:c r="A2" s="5" t="str">
        <x:v>Channel bandwidth — 20–100 MHz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</x:row>
    <x:row r="3" ht="21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</x:row>
    <x:row r="4" ht="21" customHeight="1">
      <x:c r="A4" s="1" t="str">
        <x:v>Mean of five runs (1–5), seed 42. Error bars = ±1 sample SD, not confidence intervals.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</x:row>
    <x:row r="5" ht="21" customHeight="1">
      <x:c r="A5" s="1" t="str">
        <x:v>Offered load 200 Mbps; UE 10 dBm; distance 100 m; numerology 2; TDD DL|UL|UL|UL|.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</x:row>
    <x:row r="6" ht="21" customHeight="1">
      <x:c r="A6" s="1" t="str">
        <x:v>Payload 1400 B; RLC buffer 1 MiB; application window 10 s; drain 2 s.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</x:row>
    <x:row r="7" ht="21" customHeight="1">
      <x:c r="A7" s="1" t="str">
        <x:v>Loss = packets not received after drain / transmitted packets. Delay and jitter describe received packets.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</x:row>
    <x:row r="8" ht="21" customHeight="1">
      <x:c r="A8" s="1" t="str">
        <x:v>Drain 5 s reproduced run 1 metrics; this validation is excluded from the five-run averages.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</x:row>
    <x:row r="9" ht="21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</x:row>
    <x:row r="10" ht="21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</x:row>
    <x:row r="11" ht="21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</x:row>
    <x:row r="12" ht="21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</x:row>
    <x:row r="13" ht="21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</x:row>
    <x:row r="14" ht="21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</x:row>
    <x:row r="15" ht="21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</x:row>
    <x:row r="16" ht="21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</x:row>
    <x:row r="17" ht="21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</x:row>
    <x:row r="18" ht="21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</x:row>
    <x:row r="19" ht="21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</x:row>
    <x:row r="20" ht="21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</x:row>
    <x:row r="21" ht="21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</x:row>
    <x:row r="22" ht="21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</x:row>
    <x:row r="23" ht="21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</x:row>
    <x:row r="24" ht="21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</x:row>
    <x:row r="25" ht="21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</x:row>
    <x:row r="26" ht="21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</x:row>
    <x:row r="27" ht="21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</x:row>
    <x:row r="28" ht="21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</x:row>
    <x:row r="29" ht="21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</x:row>
    <x:row r="30" ht="21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</x:row>
    <x:row r="31" ht="21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</x:row>
    <x:row r="33" ht="21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</x:row>
    <x:row r="34" ht="21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</x:row>
    <x:row r="35" ht="21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</x:row>
    <x:row r="36" ht="21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</x:row>
    <x:row r="38" ht="21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</x:row>
    <x:row r="46" ht="21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</x:row>
    <x:row r="57" ht="46" customHeight="1">
      <x:c r="A57" s="4" t="str">
        <x:v>Bandwidth (MHz)</x:v>
      </x:c>
      <x:c r="B57" s="4" t="str">
        <x:v>Throughput (Mbps)</x:v>
      </x:c>
      <x:c r="C57" s="4" t="str">
        <x:v>Goodput (Mbps)</x:v>
      </x:c>
      <x:c r="D57" s="4" t="str">
        <x:v>Delay (ms)</x:v>
      </x:c>
      <x:c r="E57" s="4" t="str">
        <x:v>Jitter (ms)</x:v>
      </x:c>
      <x:c r="F57" s="4" t="str">
        <x:v>Loss (%)</x:v>
      </x:c>
      <x:c r="G57" s="4" t="str">
        <x:v>Throughput SD</x:v>
      </x:c>
      <x:c r="H57" s="4" t="str">
        <x:v>Goodput SD</x:v>
      </x:c>
      <x:c r="I57" s="4" t="str">
        <x:v>Delay SD (ms)</x:v>
      </x:c>
      <x:c r="J57" s="4" t="str">
        <x:v>Jitter SD (ms)</x:v>
      </x:c>
      <x:c r="K57" s="4" t="str">
        <x:v>Loss SD (pp)</x:v>
      </x:c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</x:row>
    <x:row r="58" ht="21" customHeight="1">
      <x:c r="A58" s="1" t="n">
        <x:v>20</x:v>
      </x:c>
      <x:c r="B58" s="6" t="n">
        <x:f>AVERAGE('Raw data'!R4,'Raw data'!R9,'Raw data'!R14,'Raw data'!R19,'Raw data'!R24)</x:f>
        <x:v>61.0030176</x:v>
      </x:c>
      <x:c r="C58" s="6" t="n">
        <x:f>AVERAGE('Raw data'!S4,'Raw data'!S9,'Raw data'!S14,'Raw data'!S19,'Raw data'!S24)</x:f>
        <x:v>59.80688</x:v>
      </x:c>
      <x:c r="D58" s="6" t="n">
        <x:f>AVERAGE('Raw data'!T4,'Raw data'!T9,'Raw data'!T14,'Raw data'!T19,'Raw data'!T24)</x:f>
        <x:v>140.10976416</x:v>
      </x:c>
      <x:c r="E58" s="6" t="n">
        <x:f>AVERAGE('Raw data'!U4,'Raw data'!U9,'Raw data'!U14,'Raw data'!U19,'Raw data'!U24)</x:f>
        <x:v>0.2668737174</x:v>
      </x:c>
      <x:c r="F58" s="7" t="n">
        <x:f>AVERAGE('Raw data'!V4,'Raw data'!V9,'Raw data'!V14,'Raw data'!V19,'Raw data'!V24)*100</x:f>
        <x:v>70.0964882</x:v>
      </x:c>
      <x:c r="G58" s="6" t="n">
        <x:f>STDEV('Raw data'!R4,'Raw data'!R9,'Raw data'!R14,'Raw data'!R19,'Raw data'!R24)</x:f>
        <x:v>0</x:v>
      </x:c>
      <x:c r="H58" s="6" t="n">
        <x:f>STDEV('Raw data'!S4,'Raw data'!S9,'Raw data'!S14,'Raw data'!S19,'Raw data'!S24)</x:f>
        <x:v>0</x:v>
      </x:c>
      <x:c r="I58" s="6" t="n">
        <x:f>STDEV('Raw data'!T4,'Raw data'!T9,'Raw data'!T14,'Raw data'!T19,'Raw data'!T24)</x:f>
        <x:v>0.0023728665687364025</x:v>
      </x:c>
      <x:c r="J58" s="6" t="n">
        <x:f>STDEV('Raw data'!U4,'Raw data'!U9,'Raw data'!U14,'Raw data'!U19,'Raw data'!U24)</x:f>
        <x:v>0.0006429317167999327</x:v>
      </x:c>
      <x:c r="K58" s="6" t="n">
        <x:f>STDEV('Raw data'!V4,'Raw data'!V9,'Raw data'!V14,'Raw data'!V19,'Raw data'!V24)*100</x:f>
        <x:v>0</x:v>
      </x:c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</x:row>
    <x:row r="59" ht="21" customHeight="1">
      <x:c r="A59" s="1" t="n">
        <x:v>40</x:v>
      </x:c>
      <x:c r="B59" s="6" t="n">
        <x:f>AVERAGE('Raw data'!R5,'Raw data'!R10,'Raw data'!R15,'Raw data'!R20,'Raw data'!R25)</x:f>
        <x:v>108.26364864</x:v>
      </x:c>
      <x:c r="C59" s="6" t="n">
        <x:f>AVERAGE('Raw data'!S5,'Raw data'!S10,'Raw data'!S15,'Raw data'!S20,'Raw data'!S25)</x:f>
        <x:v>106.140832</x:v>
      </x:c>
      <x:c r="D59" s="6" t="n">
        <x:f>AVERAGE('Raw data'!T5,'Raw data'!T10,'Raw data'!T15,'Raw data'!T20,'Raw data'!T25)</x:f>
        <x:v>203.7162361</x:v>
      </x:c>
      <x:c r="E59" s="6" t="n">
        <x:f>AVERAGE('Raw data'!U5,'Raw data'!U10,'Raw data'!U15,'Raw data'!U20,'Raw data'!U25)</x:f>
        <x:v>0.2089955668</x:v>
      </x:c>
      <x:c r="F59" s="7" t="n">
        <x:f>AVERAGE('Raw data'!V5,'Raw data'!V10,'Raw data'!V15,'Raw data'!V20,'Raw data'!V25)*100</x:f>
        <x:v>46.92945664</x:v>
      </x:c>
      <x:c r="G59" s="6" t="n">
        <x:f>STDEV('Raw data'!R5,'Raw data'!R10,'Raw data'!R15,'Raw data'!R20,'Raw data'!R25)</x:f>
        <x:v>0.1700883600639609</x:v>
      </x:c>
      <x:c r="H59" s="6" t="n">
        <x:f>STDEV('Raw data'!S5,'Raw data'!S10,'Raw data'!S15,'Raw data'!S20,'Raw data'!S25)</x:f>
        <x:v>0.16675329418035137</x:v>
      </x:c>
      <x:c r="I59" s="6" t="n">
        <x:f>STDEV('Raw data'!T5,'Raw data'!T10,'Raw data'!T15,'Raw data'!T20,'Raw data'!T25)</x:f>
        <x:v>1.542893689028553</x:v>
      </x:c>
      <x:c r="J59" s="6" t="n">
        <x:f>STDEV('Raw data'!U5,'Raw data'!U10,'Raw data'!U15,'Raw data'!U20,'Raw data'!U25)</x:f>
        <x:v>0.0007912372439083666</x:v>
      </x:c>
      <x:c r="K59" s="6" t="n">
        <x:f>STDEV('Raw data'!V5,'Raw data'!V10,'Raw data'!V15,'Raw data'!V20,'Raw data'!V25)*100</x:f>
        <x:v>0.08337685231311577</x:v>
      </x:c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</x:row>
    <x:row r="60" ht="21" customHeight="1">
      <x:c r="A60" s="1" t="n">
        <x:v>60</x:v>
      </x:c>
      <x:c r="B60" s="6" t="n">
        <x:f>AVERAGE('Raw data'!R6,'Raw data'!R11,'Raw data'!R16,'Raw data'!R21,'Raw data'!R26)</x:f>
        <x:v>162.5783712</x:v>
      </x:c>
      <x:c r="C60" s="6" t="n">
        <x:f>AVERAGE('Raw data'!S6,'Raw data'!S11,'Raw data'!S16,'Raw data'!S21,'Raw data'!S26)</x:f>
        <x:v>159.39056</x:v>
      </x:c>
      <x:c r="D60" s="6" t="n">
        <x:f>AVERAGE('Raw data'!T6,'Raw data'!T11,'Raw data'!T16,'Raw data'!T21,'Raw data'!T26)</x:f>
        <x:v>111.07912137999999</x:v>
      </x:c>
      <x:c r="E60" s="6" t="n">
        <x:f>AVERAGE('Raw data'!U6,'Raw data'!U11,'Raw data'!U16,'Raw data'!U21,'Raw data'!U26)</x:f>
        <x:v>0.1347837884</x:v>
      </x:c>
      <x:c r="F60" s="7" t="n">
        <x:f>AVERAGE('Raw data'!V6,'Raw data'!V11,'Raw data'!V16,'Raw data'!V21,'Raw data'!V26)*100</x:f>
        <x:v>20.30452876</x:v>
      </x:c>
      <x:c r="G60" s="6" t="n">
        <x:f>STDEV('Raw data'!R6,'Raw data'!R11,'Raw data'!R16,'Raw data'!R21,'Raw data'!R26)</x:f>
        <x:v>0.2649222890554882</x:v>
      </x:c>
      <x:c r="H60" s="6" t="n">
        <x:f>STDEV('Raw data'!S6,'Raw data'!S11,'Raw data'!S16,'Raw data'!S21,'Raw data'!S26)</x:f>
        <x:v>0.259727734368123</x:v>
      </x:c>
      <x:c r="I60" s="6" t="n">
        <x:f>STDEV('Raw data'!T6,'Raw data'!T11,'Raw data'!T16,'Raw data'!T21,'Raw data'!T26)</x:f>
        <x:v>9.325095841463837</x:v>
      </x:c>
      <x:c r="J60" s="6" t="n">
        <x:f>STDEV('Raw data'!U6,'Raw data'!U11,'Raw data'!U16,'Raw data'!U21,'Raw data'!U26)</x:f>
        <x:v>0.0011852496243202491</x:v>
      </x:c>
      <x:c r="K60" s="6" t="n">
        <x:f>STDEV('Raw data'!V6,'Raw data'!V11,'Raw data'!V16,'Raw data'!V21,'Raw data'!V26)*100</x:f>
        <x:v>0.1298641714103353</x:v>
      </x:c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</x:row>
    <x:row r="61" ht="21" customHeight="1">
      <x:c r="A61" s="1" t="n">
        <x:v>80</x:v>
      </x:c>
      <x:c r="B61" s="6" t="n">
        <x:f>AVERAGE('Raw data'!R7,'Raw data'!R12,'Raw data'!R17,'Raw data'!R22,'Raw data'!R27)</x:f>
        <x:v>201.3103008</x:v>
      </x:c>
      <x:c r="C61" s="6" t="n">
        <x:f>AVERAGE('Raw data'!S7,'Raw data'!S12,'Raw data'!S17,'Raw data'!S22,'Raw data'!S27)</x:f>
        <x:v>197.36304</x:v>
      </x:c>
      <x:c r="D61" s="6" t="n">
        <x:f>AVERAGE('Raw data'!T7,'Raw data'!T12,'Raw data'!T17,'Raw data'!T22,'Raw data'!T27)</x:f>
        <x:v>39.445269542</x:v>
      </x:c>
      <x:c r="E61" s="6" t="n">
        <x:f>AVERAGE('Raw data'!U7,'Raw data'!U12,'Raw data'!U17,'Raw data'!U22,'Raw data'!U27)</x:f>
        <x:v>0.099979688</x:v>
      </x:c>
      <x:c r="F61" s="7" t="n">
        <x:f>AVERAGE('Raw data'!V7,'Raw data'!V12,'Raw data'!V17,'Raw data'!V22,'Raw data'!V27)*100</x:f>
        <x:v>1.3182432</x:v>
      </x:c>
      <x:c r="G61" s="6" t="n">
        <x:f>STDEV('Raw data'!R7,'Raw data'!R12,'Raw data'!R17,'Raw data'!R22,'Raw data'!R27)</x:f>
        <x:v>0</x:v>
      </x:c>
      <x:c r="H61" s="6" t="n">
        <x:f>STDEV('Raw data'!S7,'Raw data'!S12,'Raw data'!S17,'Raw data'!S22,'Raw data'!S27)</x:f>
        <x:v>0</x:v>
      </x:c>
      <x:c r="I61" s="6" t="n">
        <x:f>STDEV('Raw data'!T7,'Raw data'!T12,'Raw data'!T17,'Raw data'!T22,'Raw data'!T27)</x:f>
        <x:v>0.02473711948692608</x:v>
      </x:c>
      <x:c r="J61" s="6" t="n">
        <x:f>STDEV('Raw data'!U7,'Raw data'!U12,'Raw data'!U17,'Raw data'!U22,'Raw data'!U27)</x:f>
        <x:v>0.000035896600827932284</x:v>
      </x:c>
      <x:c r="K61" s="6" t="n">
        <x:f>STDEV('Raw data'!V7,'Raw data'!V12,'Raw data'!V17,'Raw data'!V22,'Raw data'!V27)*100</x:f>
        <x:v>0</x:v>
      </x:c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</x:row>
    <x:row r="62" ht="21" customHeight="1">
      <x:c r="A62" s="1" t="n">
        <x:v>100</x:v>
      </x:c>
      <x:c r="B62" s="6" t="n">
        <x:f>AVERAGE('Raw data'!R8,'Raw data'!R13,'Raw data'!R18,'Raw data'!R23,'Raw data'!R28)</x:f>
        <x:v>203.9995104</x:v>
      </x:c>
      <x:c r="C62" s="6" t="n">
        <x:f>AVERAGE('Raw data'!S8,'Raw data'!S13,'Raw data'!S18,'Raw data'!S23,'Raw data'!S28)</x:f>
        <x:v>199.99952</x:v>
      </x:c>
      <x:c r="D62" s="6" t="n">
        <x:f>AVERAGE('Raw data'!T8,'Raw data'!T13,'Raw data'!T18,'Raw data'!T23,'Raw data'!T28)</x:f>
        <x:v>3.6507803539999997</x:v>
      </x:c>
      <x:c r="E62" s="6" t="n">
        <x:f>AVERAGE('Raw data'!U8,'Raw data'!U13,'Raw data'!U18,'Raw data'!U23,'Raw data'!U28)</x:f>
        <x:v>0.0990438124</x:v>
      </x:c>
      <x:c r="F62" s="7" t="n">
        <x:f>AVERAGE('Raw data'!V8,'Raw data'!V13,'Raw data'!V18,'Raw data'!V23,'Raw data'!V28)*100</x:f>
        <x:v>0</x:v>
      </x:c>
      <x:c r="G62" s="6" t="n">
        <x:f>STDEV('Raw data'!R8,'Raw data'!R13,'Raw data'!R18,'Raw data'!R23,'Raw data'!R28)</x:f>
        <x:v>0</x:v>
      </x:c>
      <x:c r="H62" s="6" t="n">
        <x:f>STDEV('Raw data'!S8,'Raw data'!S13,'Raw data'!S18,'Raw data'!S23,'Raw data'!S28)</x:f>
        <x:v>0</x:v>
      </x:c>
      <x:c r="I62" s="6" t="n">
        <x:f>STDEV('Raw data'!T8,'Raw data'!T13,'Raw data'!T18,'Raw data'!T23,'Raw data'!T28)</x:f>
        <x:v>0.003964022385571858</x:v>
      </x:c>
      <x:c r="J62" s="6" t="n">
        <x:f>STDEV('Raw data'!U8,'Raw data'!U13,'Raw data'!U18,'Raw data'!U23,'Raw data'!U28)</x:f>
        <x:v>0.00004979712989520945</x:v>
      </x:c>
      <x:c r="K62" s="6" t="n">
        <x:f>STDEV('Raw data'!V8,'Raw data'!V13,'Raw data'!V18,'Raw data'!V23,'Raw data'!V28)*100</x:f>
        <x:v>0</x:v>
      </x:c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</x:row>
    <x:row r="65" ht="21" customHeight="1">
      <x:c r="A65" s="1" t="str">
        <x:v>Interpretation: goodput rises with bandwidth; the full offered load is delivered at 100 MHz.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</x:row>
    <x:row r="66" ht="21" customHeight="1">
      <x:c r="A66" s="1" t="str">
        <x:v>Delay is not monotonic: the largest mean occurs at 40 MHz; the largest delay SD occurs at 60 MHz.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</x:row>
    <x:row r="67" ht="21" customHeight="1">
      <x:c r="A67" s="1" t="str">
        <x:v>Results apply to this fixed-power, 200 Mbps scenario; no causal explanation of the delay peak is established.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</x:row>
    <x:row r="72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</x:row>
  </x:sheetData>
  <x:pageMargins left="0.7" right="0.7" top="0.75" bottom="0.75" header="0.3" footer="0.3"/>
  <x:drawing xmlns:r="http://schemas.openxmlformats.org/officeDocument/2006/relationships" r:id="R07a75a5364bc4ef4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3" hidden="0" customWidth="1"/>
    <x:col min="2" max="2" width="21" hidden="0" customWidth="1"/>
    <x:col min="3" max="3" width="21" hidden="0" customWidth="1"/>
    <x:col min="4" max="4" width="38" hidden="0" customWidth="1"/>
    <x:col min="5" max="5" width="38" hidden="0" customWidth="1"/>
    <x:col min="6" max="6" width="38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</x:cols>
  <x:sheetData>
    <x:row r="1" ht="21" customHeight="1">
      <x:c r="A1" s="1" t="str">
        <x:v>Sources: n8n executions 50–54 (runs 1–5, drain 2 s); execution 55 (run 1, drain 5 s, validation only).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</x:row>
    <x:row r="2" ht="21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</x:row>
    <x:row r="3" ht="48" customHeight="1">
      <x:c r="A3" s="4" t="str">
        <x:v>experiment_id</x:v>
      </x:c>
      <x:c r="B3" s="4" t="str">
        <x:v>n8n_execution_id</x:v>
      </x:c>
      <x:c r="C3" s="4" t="str">
        <x:v>data_source</x:v>
      </x:c>
      <x:c r="D3" s="4" t="str">
        <x:v>config_path</x:v>
      </x:c>
      <x:c r="E3" s="4" t="str">
        <x:v>results_path</x:v>
      </x:c>
      <x:c r="F3" s="4" t="str">
        <x:v>experiment_dir</x:v>
      </x:c>
      <x:c r="G3" s="4" t="str">
        <x:v>ue_distance_2d_m</x:v>
      </x:c>
      <x:c r="H3" s="4" t="str">
        <x:v>ue_distance_3d_m</x:v>
      </x:c>
      <x:c r="I3" s="4" t="str">
        <x:v>ue_tx_power_dbm</x:v>
      </x:c>
      <x:c r="J3" s="4" t="str">
        <x:v>offered_load_mbps</x:v>
      </x:c>
      <x:c r="K3" s="4" t="str">
        <x:v>bandwidth_hz</x:v>
      </x:c>
      <x:c r="L3" s="4" t="str">
        <x:v>numerology</x:v>
      </x:c>
      <x:c r="M3" s="4" t="str">
        <x:v>tdd_pattern</x:v>
      </x:c>
      <x:c r="N3" s="4" t="str">
        <x:v>packet_size_bytes</x:v>
      </x:c>
      <x:c r="O3" s="4" t="str">
        <x:v>rlc_buffer_size_bytes</x:v>
      </x:c>
      <x:c r="P3" s="4" t="str">
        <x:v>rng_seed</x:v>
      </x:c>
      <x:c r="Q3" s="4" t="str">
        <x:v>rng_run</x:v>
      </x:c>
      <x:c r="R3" s="4" t="str">
        <x:v>throughput_mbps</x:v>
      </x:c>
      <x:c r="S3" s="4" t="str">
        <x:v>app_goodput_mbps</x:v>
      </x:c>
      <x:c r="T3" s="4" t="str">
        <x:v>end_to_end_delay_ms</x:v>
      </x:c>
      <x:c r="U3" s="4" t="str">
        <x:v>jitter_ms</x:v>
      </x:c>
      <x:c r="V3" s="4" t="str">
        <x:v>loss_fraction</x:v>
      </x:c>
      <x:c r="W3" s="4" t="str">
        <x:v>tx_packets</x:v>
      </x:c>
      <x:c r="X3" s="4" t="str">
        <x:v>rx_packets</x:v>
      </x:c>
      <x:c r="Y3" s="4" t="str">
        <x:v>ip_rx_bytes</x:v>
      </x:c>
      <x:c r="Z3" s="4" t="str">
        <x:v>unreceived_packets_after_drain</x:v>
      </x:c>
      <x:c r="AA3" s="4" t="str">
        <x:v>source_execution</x:v>
      </x:c>
      <x:c r="AB3" s="4" t="str">
        <x:v>drain_time_s</x:v>
      </x:c>
    </x:row>
    <x:row r="4" ht="21" customHeight="1">
      <x:c r="A4" s="1" t="str">
        <x:v>bandwidth_20mhz_run_1</x:v>
      </x:c>
      <x:c r="B4" s="1" t="n">
        <x:v>50</x:v>
      </x:c>
      <x:c r="C4" s="1" t="str">
        <x:v>ns3</x:v>
      </x:c>
      <x:c r="D4" s="1" t="str">
        <x:v>experiments/execution_50/experiment_1/config.json</x:v>
      </x:c>
      <x:c r="E4" s="1" t="str">
        <x:v>experiments/execution_50/experiment_1/results.json</x:v>
      </x:c>
      <x:c r="F4" s="1" t="str">
        <x:v>/home/dinos/ns-allinone-3.47/ns-3.47/experiments/execution_50/experiment_1</x:v>
      </x:c>
      <x:c r="G4" s="1" t="n">
        <x:v>100</x:v>
      </x:c>
      <x:c r="H4" s="1" t="n">
        <x:v>100.3605998</x:v>
      </x:c>
      <x:c r="I4" s="1" t="n">
        <x:v>10</x:v>
      </x:c>
      <x:c r="J4" s="1" t="n">
        <x:v>200</x:v>
      </x:c>
      <x:c r="K4" s="1" t="n">
        <x:v>20000000</x:v>
      </x:c>
      <x:c r="L4" s="1" t="n">
        <x:v>2</x:v>
      </x:c>
      <x:c r="M4" s="1" t="str">
        <x:v>DL|UL|UL|UL|</x:v>
      </x:c>
      <x:c r="N4" s="1" t="n">
        <x:v>1400</x:v>
      </x:c>
      <x:c r="O4" s="1" t="n">
        <x:v>1048576</x:v>
      </x:c>
      <x:c r="P4" s="1" t="n">
        <x:v>42</x:v>
      </x:c>
      <x:c r="Q4" s="1" t="n">
        <x:v>1</x:v>
      </x:c>
      <x:c r="R4" s="1" t="n">
        <x:v>61.0030176</x:v>
      </x:c>
      <x:c r="S4" s="1" t="n">
        <x:v>59.80688</x:v>
      </x:c>
      <x:c r="T4" s="1" t="n">
        <x:v>140.1106924</x:v>
      </x:c>
      <x:c r="U4" s="1" t="n">
        <x:v>0.265924513</x:v>
      </x:c>
      <x:c r="V4" s="1" t="n">
        <x:v>0.700964882</x:v>
      </x:c>
      <x:c r="W4" s="1" t="n">
        <x:v>178571</x:v>
      </x:c>
      <x:c r="X4" s="1" t="n">
        <x:v>53399</x:v>
      </x:c>
      <x:c r="Y4" s="1" t="n">
        <x:v>76253772</x:v>
      </x:c>
      <x:c r="Z4" s="1" t="n">
        <x:v>125172</x:v>
      </x:c>
      <x:c r="AA4" s="1" t="n">
        <x:v>50</x:v>
      </x:c>
      <x:c r="AB4" s="1" t="n">
        <x:v>2</x:v>
      </x:c>
    </x:row>
    <x:row r="5" ht="21" customHeight="1">
      <x:c r="A5" s="1" t="str">
        <x:v>bandwidth_40mhz_run_1</x:v>
      </x:c>
      <x:c r="B5" s="1" t="n">
        <x:v>50</x:v>
      </x:c>
      <x:c r="C5" s="1" t="str">
        <x:v>ns3</x:v>
      </x:c>
      <x:c r="D5" s="1" t="str">
        <x:v>experiments/execution_50/experiment_2/config.json</x:v>
      </x:c>
      <x:c r="E5" s="1" t="str">
        <x:v>experiments/execution_50/experiment_2/results.json</x:v>
      </x:c>
      <x:c r="F5" s="1" t="str">
        <x:v>/home/dinos/ns-allinone-3.47/ns-3.47/experiments/execution_50/experiment_2</x:v>
      </x:c>
      <x:c r="G5" s="1" t="n">
        <x:v>100</x:v>
      </x:c>
      <x:c r="H5" s="1" t="n">
        <x:v>100.3605998</x:v>
      </x:c>
      <x:c r="I5" s="1" t="n">
        <x:v>10</x:v>
      </x:c>
      <x:c r="J5" s="1" t="n">
        <x:v>200</x:v>
      </x:c>
      <x:c r="K5" s="1" t="n">
        <x:v>40000000</x:v>
      </x:c>
      <x:c r="L5" s="1" t="n">
        <x:v>2</x:v>
      </x:c>
      <x:c r="M5" s="1" t="str">
        <x:v>DL|UL|UL|UL|</x:v>
      </x:c>
      <x:c r="N5" s="1" t="n">
        <x:v>1400</x:v>
      </x:c>
      <x:c r="O5" s="1" t="n">
        <x:v>1048576</x:v>
      </x:c>
      <x:c r="P5" s="1" t="n">
        <x:v>42</x:v>
      </x:c>
      <x:c r="Q5" s="1" t="n">
        <x:v>1</x:v>
      </x:c>
      <x:c r="R5" s="1" t="n">
        <x:v>108.3235104</x:v>
      </x:c>
      <x:c r="S5" s="1" t="n">
        <x:v>106.19952</x:v>
      </x:c>
      <x:c r="T5" s="1" t="n">
        <x:v>202.5822518</x:v>
      </x:c>
      <x:c r="U5" s="1" t="n">
        <x:v>0.208571443</x:v>
      </x:c>
      <x:c r="V5" s="1" t="n">
        <x:v>0.469001126</x:v>
      </x:c>
      <x:c r="W5" s="1" t="n">
        <x:v>178571</x:v>
      </x:c>
      <x:c r="X5" s="1" t="n">
        <x:v>94821</x:v>
      </x:c>
      <x:c r="Y5" s="1" t="n">
        <x:v>135404388</x:v>
      </x:c>
      <x:c r="Z5" s="1" t="n">
        <x:v>83750</x:v>
      </x:c>
      <x:c r="AA5" s="1" t="n">
        <x:v>50</x:v>
      </x:c>
      <x:c r="AB5" s="1" t="n">
        <x:v>2</x:v>
      </x:c>
    </x:row>
    <x:row r="6" ht="21" customHeight="1">
      <x:c r="A6" s="1" t="str">
        <x:v>bandwidth_60mhz_run_1</x:v>
      </x:c>
      <x:c r="B6" s="1" t="n">
        <x:v>50</x:v>
      </x:c>
      <x:c r="C6" s="1" t="str">
        <x:v>ns3</x:v>
      </x:c>
      <x:c r="D6" s="1" t="str">
        <x:v>experiments/execution_50/experiment_3/config.json</x:v>
      </x:c>
      <x:c r="E6" s="1" t="str">
        <x:v>experiments/execution_50/experiment_3/results.json</x:v>
      </x:c>
      <x:c r="F6" s="1" t="str">
        <x:v>/home/dinos/ns-allinone-3.47/ns-3.47/experiments/execution_50/experiment_3</x:v>
      </x:c>
      <x:c r="G6" s="1" t="n">
        <x:v>100</x:v>
      </x:c>
      <x:c r="H6" s="1" t="n">
        <x:v>100.3605998</x:v>
      </x:c>
      <x:c r="I6" s="1" t="n">
        <x:v>10</x:v>
      </x:c>
      <x:c r="J6" s="1" t="n">
        <x:v>200</x:v>
      </x:c>
      <x:c r="K6" s="1" t="n">
        <x:v>60000000</x:v>
      </x:c>
      <x:c r="L6" s="1" t="n">
        <x:v>2</x:v>
      </x:c>
      <x:c r="M6" s="1" t="str">
        <x:v>DL|UL|UL|UL|</x:v>
      </x:c>
      <x:c r="N6" s="1" t="n">
        <x:v>1400</x:v>
      </x:c>
      <x:c r="O6" s="1" t="n">
        <x:v>1048576</x:v>
      </x:c>
      <x:c r="P6" s="1" t="n">
        <x:v>42</x:v>
      </x:c>
      <x:c r="Q6" s="1" t="n">
        <x:v>1</x:v>
      </x:c>
      <x:c r="R6" s="1" t="n">
        <x:v>162.4709856</x:v>
      </x:c>
      <x:c r="S6" s="1" t="n">
        <x:v>159.28528</x:v>
      </x:c>
      <x:c r="T6" s="1" t="n">
        <x:v>116.1393969</x:v>
      </x:c>
      <x:c r="U6" s="1" t="n">
        <x:v>0.135653103</x:v>
      </x:c>
      <x:c r="V6" s="1" t="n">
        <x:v>0.203571689</x:v>
      </x:c>
      <x:c r="W6" s="1" t="n">
        <x:v>178571</x:v>
      </x:c>
      <x:c r="X6" s="1" t="n">
        <x:v>142219</x:v>
      </x:c>
      <x:c r="Y6" s="1" t="n">
        <x:v>203088732</x:v>
      </x:c>
      <x:c r="Z6" s="1" t="n">
        <x:v>36352</x:v>
      </x:c>
      <x:c r="AA6" s="1" t="n">
        <x:v>50</x:v>
      </x:c>
      <x:c r="AB6" s="1" t="n">
        <x:v>2</x:v>
      </x:c>
    </x:row>
    <x:row r="7" ht="21" customHeight="1">
      <x:c r="A7" s="1" t="str">
        <x:v>bandwidth_80mhz_run_1</x:v>
      </x:c>
      <x:c r="B7" s="1" t="n">
        <x:v>50</x:v>
      </x:c>
      <x:c r="C7" s="1" t="str">
        <x:v>ns3</x:v>
      </x:c>
      <x:c r="D7" s="1" t="str">
        <x:v>experiments/execution_50/experiment_4/config.json</x:v>
      </x:c>
      <x:c r="E7" s="1" t="str">
        <x:v>experiments/execution_50/experiment_4/results.json</x:v>
      </x:c>
      <x:c r="F7" s="1" t="str">
        <x:v>/home/dinos/ns-allinone-3.47/ns-3.47/experiments/execution_50/experiment_4</x:v>
      </x:c>
      <x:c r="G7" s="1" t="n">
        <x:v>100</x:v>
      </x:c>
      <x:c r="H7" s="1" t="n">
        <x:v>100.3605998</x:v>
      </x:c>
      <x:c r="I7" s="1" t="n">
        <x:v>10</x:v>
      </x:c>
      <x:c r="J7" s="1" t="n">
        <x:v>200</x:v>
      </x:c>
      <x:c r="K7" s="1" t="n">
        <x:v>80000000</x:v>
      </x:c>
      <x:c r="L7" s="1" t="n">
        <x:v>2</x:v>
      </x:c>
      <x:c r="M7" s="1" t="str">
        <x:v>DL|UL|UL|UL|</x:v>
      </x:c>
      <x:c r="N7" s="1" t="n">
        <x:v>1400</x:v>
      </x:c>
      <x:c r="O7" s="1" t="n">
        <x:v>1048576</x:v>
      </x:c>
      <x:c r="P7" s="1" t="n">
        <x:v>42</x:v>
      </x:c>
      <x:c r="Q7" s="1" t="n">
        <x:v>1</x:v>
      </x:c>
      <x:c r="R7" s="1" t="n">
        <x:v>201.3103008</x:v>
      </x:c>
      <x:c r="S7" s="1" t="n">
        <x:v>197.36304</x:v>
      </x:c>
      <x:c r="T7" s="1" t="n">
        <x:v>39.43865215</x:v>
      </x:c>
      <x:c r="U7" s="1" t="n">
        <x:v>0.099980401</x:v>
      </x:c>
      <x:c r="V7" s="1" t="n">
        <x:v>0.013182432</x:v>
      </x:c>
      <x:c r="W7" s="1" t="n">
        <x:v>178571</x:v>
      </x:c>
      <x:c r="X7" s="1" t="n">
        <x:v>176217</x:v>
      </x:c>
      <x:c r="Y7" s="1" t="n">
        <x:v>251637876</x:v>
      </x:c>
      <x:c r="Z7" s="1" t="n">
        <x:v>2354</x:v>
      </x:c>
      <x:c r="AA7" s="1" t="n">
        <x:v>50</x:v>
      </x:c>
      <x:c r="AB7" s="1" t="n">
        <x:v>2</x:v>
      </x:c>
    </x:row>
    <x:row r="8" ht="21" customHeight="1">
      <x:c r="A8" s="1" t="str">
        <x:v>bandwidth_100mhz_run_1</x:v>
      </x:c>
      <x:c r="B8" s="1" t="n">
        <x:v>50</x:v>
      </x:c>
      <x:c r="C8" s="1" t="str">
        <x:v>ns3</x:v>
      </x:c>
      <x:c r="D8" s="1" t="str">
        <x:v>experiments/execution_50/experiment_5/config.json</x:v>
      </x:c>
      <x:c r="E8" s="1" t="str">
        <x:v>experiments/execution_50/experiment_5/results.json</x:v>
      </x:c>
      <x:c r="F8" s="1" t="str">
        <x:v>/home/dinos/ns-allinone-3.47/ns-3.47/experiments/execution_50/experiment_5</x:v>
      </x:c>
      <x:c r="G8" s="1" t="n">
        <x:v>100</x:v>
      </x:c>
      <x:c r="H8" s="1" t="n">
        <x:v>100.3605998</x:v>
      </x:c>
      <x:c r="I8" s="1" t="n">
        <x:v>10</x:v>
      </x:c>
      <x:c r="J8" s="1" t="n">
        <x:v>200</x:v>
      </x:c>
      <x:c r="K8" s="1" t="n">
        <x:v>100000000</x:v>
      </x:c>
      <x:c r="L8" s="1" t="n">
        <x:v>2</x:v>
      </x:c>
      <x:c r="M8" s="1" t="str">
        <x:v>DL|UL|UL|UL|</x:v>
      </x:c>
      <x:c r="N8" s="1" t="n">
        <x:v>1400</x:v>
      </x:c>
      <x:c r="O8" s="1" t="n">
        <x:v>1048576</x:v>
      </x:c>
      <x:c r="P8" s="1" t="n">
        <x:v>42</x:v>
      </x:c>
      <x:c r="Q8" s="1" t="n">
        <x:v>1</x:v>
      </x:c>
      <x:c r="R8" s="1" t="n">
        <x:v>203.9995104</x:v>
      </x:c>
      <x:c r="S8" s="1" t="n">
        <x:v>199.99952</x:v>
      </x:c>
      <x:c r="T8" s="1" t="n">
        <x:v>3.653616326</x:v>
      </x:c>
      <x:c r="U8" s="1" t="n">
        <x:v>0.099031597</x:v>
      </x:c>
      <x:c r="V8" s="1" t="n">
        <x:v>0</x:v>
      </x:c>
      <x:c r="W8" s="1" t="n">
        <x:v>178571</x:v>
      </x:c>
      <x:c r="X8" s="1" t="n">
        <x:v>178571</x:v>
      </x:c>
      <x:c r="Y8" s="1" t="n">
        <x:v>254999388</x:v>
      </x:c>
      <x:c r="Z8" s="1" t="n">
        <x:v>0</x:v>
      </x:c>
      <x:c r="AA8" s="1" t="n">
        <x:v>50</x:v>
      </x:c>
      <x:c r="AB8" s="1" t="n">
        <x:v>2</x:v>
      </x:c>
    </x:row>
    <x:row r="9" ht="21" customHeight="1">
      <x:c r="A9" s="1" t="str">
        <x:v>bandwidth_20mhz_run_2</x:v>
      </x:c>
      <x:c r="B9" s="1" t="n">
        <x:v>51</x:v>
      </x:c>
      <x:c r="C9" s="1" t="str">
        <x:v>ns3</x:v>
      </x:c>
      <x:c r="D9" s="1" t="str">
        <x:v>experiments/execution_51/experiment_1/config.json</x:v>
      </x:c>
      <x:c r="E9" s="1" t="str">
        <x:v>experiments/execution_51/experiment_1/results.json</x:v>
      </x:c>
      <x:c r="F9" s="1" t="str">
        <x:v>/home/dinos/ns-allinone-3.47/ns-3.47/experiments/execution_51/experiment_1</x:v>
      </x:c>
      <x:c r="G9" s="1" t="n">
        <x:v>100</x:v>
      </x:c>
      <x:c r="H9" s="1" t="n">
        <x:v>100.3605998</x:v>
      </x:c>
      <x:c r="I9" s="1" t="n">
        <x:v>10</x:v>
      </x:c>
      <x:c r="J9" s="1" t="n">
        <x:v>200</x:v>
      </x:c>
      <x:c r="K9" s="1" t="n">
        <x:v>20000000</x:v>
      </x:c>
      <x:c r="L9" s="1" t="n">
        <x:v>2</x:v>
      </x:c>
      <x:c r="M9" s="1" t="str">
        <x:v>DL|UL|UL|UL|</x:v>
      </x:c>
      <x:c r="N9" s="1" t="n">
        <x:v>1400</x:v>
      </x:c>
      <x:c r="O9" s="1" t="n">
        <x:v>1048576</x:v>
      </x:c>
      <x:c r="P9" s="1" t="n">
        <x:v>42</x:v>
      </x:c>
      <x:c r="Q9" s="1" t="n">
        <x:v>2</x:v>
      </x:c>
      <x:c r="R9" s="1" t="n">
        <x:v>61.0030176</x:v>
      </x:c>
      <x:c r="S9" s="1" t="n">
        <x:v>59.80688</x:v>
      </x:c>
      <x:c r="T9" s="1" t="n">
        <x:v>140.1110355</x:v>
      </x:c>
      <x:c r="U9" s="1" t="n">
        <x:v>0.266962373</x:v>
      </x:c>
      <x:c r="V9" s="1" t="n">
        <x:v>0.700964882</x:v>
      </x:c>
      <x:c r="W9" s="1" t="n">
        <x:v>178571</x:v>
      </x:c>
      <x:c r="X9" s="1" t="n">
        <x:v>53399</x:v>
      </x:c>
      <x:c r="Y9" s="1" t="n">
        <x:v>76253772</x:v>
      </x:c>
      <x:c r="Z9" s="1" t="n">
        <x:v>125172</x:v>
      </x:c>
      <x:c r="AA9" s="1" t="n">
        <x:v>51</x:v>
      </x:c>
      <x:c r="AB9" s="1" t="n">
        <x:v>2</x:v>
      </x:c>
    </x:row>
    <x:row r="10" ht="21" customHeight="1">
      <x:c r="A10" s="1" t="str">
        <x:v>bandwidth_40mhz_run_2</x:v>
      </x:c>
      <x:c r="B10" s="1" t="n">
        <x:v>51</x:v>
      </x:c>
      <x:c r="C10" s="1" t="str">
        <x:v>ns3</x:v>
      </x:c>
      <x:c r="D10" s="1" t="str">
        <x:v>experiments/execution_51/experiment_2/config.json</x:v>
      </x:c>
      <x:c r="E10" s="1" t="str">
        <x:v>experiments/execution_51/experiment_2/results.json</x:v>
      </x:c>
      <x:c r="F10" s="1" t="str">
        <x:v>/home/dinos/ns-allinone-3.47/ns-3.47/experiments/execution_51/experiment_2</x:v>
      </x:c>
      <x:c r="G10" s="1" t="n">
        <x:v>100</x:v>
      </x:c>
      <x:c r="H10" s="1" t="n">
        <x:v>100.3605998</x:v>
      </x:c>
      <x:c r="I10" s="1" t="n">
        <x:v>10</x:v>
      </x:c>
      <x:c r="J10" s="1" t="n">
        <x:v>200</x:v>
      </x:c>
      <x:c r="K10" s="1" t="n">
        <x:v>40000000</x:v>
      </x:c>
      <x:c r="L10" s="1" t="n">
        <x:v>2</x:v>
      </x:c>
      <x:c r="M10" s="1" t="str">
        <x:v>DL|UL|UL|UL|</x:v>
      </x:c>
      <x:c r="N10" s="1" t="n">
        <x:v>1400</x:v>
      </x:c>
      <x:c r="O10" s="1" t="n">
        <x:v>1048576</x:v>
      </x:c>
      <x:c r="P10" s="1" t="n">
        <x:v>42</x:v>
      </x:c>
      <x:c r="Q10" s="1" t="n">
        <x:v>2</x:v>
      </x:c>
      <x:c r="R10" s="1" t="n">
        <x:v>108.3520704</x:v>
      </x:c>
      <x:c r="S10" s="1" t="n">
        <x:v>106.22752</x:v>
      </x:c>
      <x:c r="T10" s="1" t="n">
        <x:v>204.1094633</x:v>
      </x:c>
      <x:c r="U10" s="1" t="n">
        <x:v>0.208129773</x:v>
      </x:c>
      <x:c r="V10" s="1" t="n">
        <x:v>0.468861125</x:v>
      </x:c>
      <x:c r="W10" s="1" t="n">
        <x:v>178571</x:v>
      </x:c>
      <x:c r="X10" s="1" t="n">
        <x:v>94846</x:v>
      </x:c>
      <x:c r="Y10" s="1" t="n">
        <x:v>135440088</x:v>
      </x:c>
      <x:c r="Z10" s="1" t="n">
        <x:v>83725</x:v>
      </x:c>
      <x:c r="AA10" s="1" t="n">
        <x:v>51</x:v>
      </x:c>
      <x:c r="AB10" s="1" t="n">
        <x:v>2</x:v>
      </x:c>
    </x:row>
    <x:row r="11" ht="21" customHeight="1">
      <x:c r="A11" s="1" t="str">
        <x:v>bandwidth_60mhz_run_2</x:v>
      </x:c>
      <x:c r="B11" s="1" t="n">
        <x:v>51</x:v>
      </x:c>
      <x:c r="C11" s="1" t="str">
        <x:v>ns3</x:v>
      </x:c>
      <x:c r="D11" s="1" t="str">
        <x:v>experiments/execution_51/experiment_3/config.json</x:v>
      </x:c>
      <x:c r="E11" s="1" t="str">
        <x:v>experiments/execution_51/experiment_3/results.json</x:v>
      </x:c>
      <x:c r="F11" s="1" t="str">
        <x:v>/home/dinos/ns-allinone-3.47/ns-3.47/experiments/execution_51/experiment_3</x:v>
      </x:c>
      <x:c r="G11" s="1" t="n">
        <x:v>100</x:v>
      </x:c>
      <x:c r="H11" s="1" t="n">
        <x:v>100.3605998</x:v>
      </x:c>
      <x:c r="I11" s="1" t="n">
        <x:v>10</x:v>
      </x:c>
      <x:c r="J11" s="1" t="n">
        <x:v>200</x:v>
      </x:c>
      <x:c r="K11" s="1" t="n">
        <x:v>60000000</x:v>
      </x:c>
      <x:c r="L11" s="1" t="n">
        <x:v>2</x:v>
      </x:c>
      <x:c r="M11" s="1" t="str">
        <x:v>DL|UL|UL|UL|</x:v>
      </x:c>
      <x:c r="N11" s="1" t="n">
        <x:v>1400</x:v>
      </x:c>
      <x:c r="O11" s="1" t="n">
        <x:v>1048576</x:v>
      </x:c>
      <x:c r="P11" s="1" t="n">
        <x:v>42</x:v>
      </x:c>
      <x:c r="Q11" s="1" t="n">
        <x:v>2</x:v>
      </x:c>
      <x:c r="R11" s="1" t="n">
        <x:v>162.9016704</x:v>
      </x:c>
      <x:c r="S11" s="1" t="n">
        <x:v>159.70752</x:v>
      </x:c>
      <x:c r="T11" s="1" t="n">
        <x:v>105.834259</x:v>
      </x:c>
      <x:c r="U11" s="1" t="n">
        <x:v>0.134093272</x:v>
      </x:c>
      <x:c r="V11" s="1" t="n">
        <x:v>0.201460484</x:v>
      </x:c>
      <x:c r="W11" s="1" t="n">
        <x:v>178571</x:v>
      </x:c>
      <x:c r="X11" s="1" t="n">
        <x:v>142596</x:v>
      </x:c>
      <x:c r="Y11" s="1" t="n">
        <x:v>203627088</x:v>
      </x:c>
      <x:c r="Z11" s="1" t="n">
        <x:v>35975</x:v>
      </x:c>
      <x:c r="AA11" s="1" t="n">
        <x:v>51</x:v>
      </x:c>
      <x:c r="AB11" s="1" t="n">
        <x:v>2</x:v>
      </x:c>
    </x:row>
    <x:row r="12" ht="21" customHeight="1">
      <x:c r="A12" s="1" t="str">
        <x:v>bandwidth_80mhz_run_2</x:v>
      </x:c>
      <x:c r="B12" s="1" t="n">
        <x:v>51</x:v>
      </x:c>
      <x:c r="C12" s="1" t="str">
        <x:v>ns3</x:v>
      </x:c>
      <x:c r="D12" s="1" t="str">
        <x:v>experiments/execution_51/experiment_4/config.json</x:v>
      </x:c>
      <x:c r="E12" s="1" t="str">
        <x:v>experiments/execution_51/experiment_4/results.json</x:v>
      </x:c>
      <x:c r="F12" s="1" t="str">
        <x:v>/home/dinos/ns-allinone-3.47/ns-3.47/experiments/execution_51/experiment_4</x:v>
      </x:c>
      <x:c r="G12" s="1" t="n">
        <x:v>100</x:v>
      </x:c>
      <x:c r="H12" s="1" t="n">
        <x:v>100.3605998</x:v>
      </x:c>
      <x:c r="I12" s="1" t="n">
        <x:v>10</x:v>
      </x:c>
      <x:c r="J12" s="1" t="n">
        <x:v>200</x:v>
      </x:c>
      <x:c r="K12" s="1" t="n">
        <x:v>80000000</x:v>
      </x:c>
      <x:c r="L12" s="1" t="n">
        <x:v>2</x:v>
      </x:c>
      <x:c r="M12" s="1" t="str">
        <x:v>DL|UL|UL|UL|</x:v>
      </x:c>
      <x:c r="N12" s="1" t="n">
        <x:v>1400</x:v>
      </x:c>
      <x:c r="O12" s="1" t="n">
        <x:v>1048576</x:v>
      </x:c>
      <x:c r="P12" s="1" t="n">
        <x:v>42</x:v>
      </x:c>
      <x:c r="Q12" s="1" t="n">
        <x:v>2</x:v>
      </x:c>
      <x:c r="R12" s="1" t="n">
        <x:v>201.3103008</x:v>
      </x:c>
      <x:c r="S12" s="1" t="n">
        <x:v>197.36304</x:v>
      </x:c>
      <x:c r="T12" s="1" t="n">
        <x:v>39.46462886</x:v>
      </x:c>
      <x:c r="U12" s="1" t="n">
        <x:v>0.100006963</x:v>
      </x:c>
      <x:c r="V12" s="1" t="n">
        <x:v>0.013182432</x:v>
      </x:c>
      <x:c r="W12" s="1" t="n">
        <x:v>178571</x:v>
      </x:c>
      <x:c r="X12" s="1" t="n">
        <x:v>176217</x:v>
      </x:c>
      <x:c r="Y12" s="1" t="n">
        <x:v>251637876</x:v>
      </x:c>
      <x:c r="Z12" s="1" t="n">
        <x:v>2354</x:v>
      </x:c>
      <x:c r="AA12" s="1" t="n">
        <x:v>51</x:v>
      </x:c>
      <x:c r="AB12" s="1" t="n">
        <x:v>2</x:v>
      </x:c>
    </x:row>
    <x:row r="13" ht="21" customHeight="1">
      <x:c r="A13" s="1" t="str">
        <x:v>bandwidth_100mhz_run_2</x:v>
      </x:c>
      <x:c r="B13" s="1" t="n">
        <x:v>51</x:v>
      </x:c>
      <x:c r="C13" s="1" t="str">
        <x:v>ns3</x:v>
      </x:c>
      <x:c r="D13" s="1" t="str">
        <x:v>experiments/execution_51/experiment_5/config.json</x:v>
      </x:c>
      <x:c r="E13" s="1" t="str">
        <x:v>experiments/execution_51/experiment_5/results.json</x:v>
      </x:c>
      <x:c r="F13" s="1" t="str">
        <x:v>/home/dinos/ns-allinone-3.47/ns-3.47/experiments/execution_51/experiment_5</x:v>
      </x:c>
      <x:c r="G13" s="1" t="n">
        <x:v>100</x:v>
      </x:c>
      <x:c r="H13" s="1" t="n">
        <x:v>100.3605998</x:v>
      </x:c>
      <x:c r="I13" s="1" t="n">
        <x:v>10</x:v>
      </x:c>
      <x:c r="J13" s="1" t="n">
        <x:v>200</x:v>
      </x:c>
      <x:c r="K13" s="1" t="n">
        <x:v>100000000</x:v>
      </x:c>
      <x:c r="L13" s="1" t="n">
        <x:v>2</x:v>
      </x:c>
      <x:c r="M13" s="1" t="str">
        <x:v>DL|UL|UL|UL|</x:v>
      </x:c>
      <x:c r="N13" s="1" t="n">
        <x:v>1400</x:v>
      </x:c>
      <x:c r="O13" s="1" t="n">
        <x:v>1048576</x:v>
      </x:c>
      <x:c r="P13" s="1" t="n">
        <x:v>42</x:v>
      </x:c>
      <x:c r="Q13" s="1" t="n">
        <x:v>2</x:v>
      </x:c>
      <x:c r="R13" s="1" t="n">
        <x:v>203.9995104</x:v>
      </x:c>
      <x:c r="S13" s="1" t="n">
        <x:v>199.99952</x:v>
      </x:c>
      <x:c r="T13" s="1" t="n">
        <x:v>3.651378574</x:v>
      </x:c>
      <x:c r="U13" s="1" t="n">
        <x:v>0.099051227</x:v>
      </x:c>
      <x:c r="V13" s="1" t="n">
        <x:v>0</x:v>
      </x:c>
      <x:c r="W13" s="1" t="n">
        <x:v>178571</x:v>
      </x:c>
      <x:c r="X13" s="1" t="n">
        <x:v>178571</x:v>
      </x:c>
      <x:c r="Y13" s="1" t="n">
        <x:v>254999388</x:v>
      </x:c>
      <x:c r="Z13" s="1" t="n">
        <x:v>0</x:v>
      </x:c>
      <x:c r="AA13" s="1" t="n">
        <x:v>51</x:v>
      </x:c>
      <x:c r="AB13" s="1" t="n">
        <x:v>2</x:v>
      </x:c>
    </x:row>
    <x:row r="14" ht="21" customHeight="1">
      <x:c r="A14" s="1" t="str">
        <x:v>bandwidth_20mhz_run_3</x:v>
      </x:c>
      <x:c r="B14" s="1" t="n">
        <x:v>52</x:v>
      </x:c>
      <x:c r="C14" s="1" t="str">
        <x:v>ns3</x:v>
      </x:c>
      <x:c r="D14" s="1" t="str">
        <x:v>experiments/execution_52/experiment_1/config.json</x:v>
      </x:c>
      <x:c r="E14" s="1" t="str">
        <x:v>experiments/execution_52/experiment_1/results.json</x:v>
      </x:c>
      <x:c r="F14" s="1" t="str">
        <x:v>/home/dinos/ns-allinone-3.47/ns-3.47/experiments/execution_52/experiment_1</x:v>
      </x:c>
      <x:c r="G14" s="1" t="n">
        <x:v>100</x:v>
      </x:c>
      <x:c r="H14" s="1" t="n">
        <x:v>100.3605998</x:v>
      </x:c>
      <x:c r="I14" s="1" t="n">
        <x:v>10</x:v>
      </x:c>
      <x:c r="J14" s="1" t="n">
        <x:v>200</x:v>
      </x:c>
      <x:c r="K14" s="1" t="n">
        <x:v>20000000</x:v>
      </x:c>
      <x:c r="L14" s="1" t="n">
        <x:v>2</x:v>
      </x:c>
      <x:c r="M14" s="1" t="str">
        <x:v>DL|UL|UL|UL|</x:v>
      </x:c>
      <x:c r="N14" s="1" t="n">
        <x:v>1400</x:v>
      </x:c>
      <x:c r="O14" s="1" t="n">
        <x:v>1048576</x:v>
      </x:c>
      <x:c r="P14" s="1" t="n">
        <x:v>42</x:v>
      </x:c>
      <x:c r="Q14" s="1" t="n">
        <x:v>3</x:v>
      </x:c>
      <x:c r="R14" s="1" t="n">
        <x:v>61.0030176</x:v>
      </x:c>
      <x:c r="S14" s="1" t="n">
        <x:v>59.80688</x:v>
      </x:c>
      <x:c r="T14" s="1" t="n">
        <x:v>140.1060234</x:v>
      </x:c>
      <x:c r="U14" s="1" t="n">
        <x:v>0.267487959</x:v>
      </x:c>
      <x:c r="V14" s="1" t="n">
        <x:v>0.700964882</x:v>
      </x:c>
      <x:c r="W14" s="1" t="n">
        <x:v>178571</x:v>
      </x:c>
      <x:c r="X14" s="1" t="n">
        <x:v>53399</x:v>
      </x:c>
      <x:c r="Y14" s="1" t="n">
        <x:v>76253772</x:v>
      </x:c>
      <x:c r="Z14" s="1" t="n">
        <x:v>125172</x:v>
      </x:c>
      <x:c r="AA14" s="1" t="n">
        <x:v>52</x:v>
      </x:c>
      <x:c r="AB14" s="1" t="n">
        <x:v>2</x:v>
      </x:c>
    </x:row>
    <x:row r="15" ht="21" customHeight="1">
      <x:c r="A15" s="1" t="str">
        <x:v>bandwidth_40mhz_run_3</x:v>
      </x:c>
      <x:c r="B15" s="1" t="n">
        <x:v>52</x:v>
      </x:c>
      <x:c r="C15" s="1" t="str">
        <x:v>ns3</x:v>
      </x:c>
      <x:c r="D15" s="1" t="str">
        <x:v>experiments/execution_52/experiment_2/config.json</x:v>
      </x:c>
      <x:c r="E15" s="1" t="str">
        <x:v>experiments/execution_52/experiment_2/results.json</x:v>
      </x:c>
      <x:c r="F15" s="1" t="str">
        <x:v>/home/dinos/ns-allinone-3.47/ns-3.47/experiments/execution_52/experiment_2</x:v>
      </x:c>
      <x:c r="G15" s="1" t="n">
        <x:v>100</x:v>
      </x:c>
      <x:c r="H15" s="1" t="n">
        <x:v>100.3605998</x:v>
      </x:c>
      <x:c r="I15" s="1" t="n">
        <x:v>10</x:v>
      </x:c>
      <x:c r="J15" s="1" t="n">
        <x:v>200</x:v>
      </x:c>
      <x:c r="K15" s="1" t="n">
        <x:v>40000000</x:v>
      </x:c>
      <x:c r="L15" s="1" t="n">
        <x:v>2</x:v>
      </x:c>
      <x:c r="M15" s="1" t="str">
        <x:v>DL|UL|UL|UL|</x:v>
      </x:c>
      <x:c r="N15" s="1" t="n">
        <x:v>1400</x:v>
      </x:c>
      <x:c r="O15" s="1" t="n">
        <x:v>1048576</x:v>
      </x:c>
      <x:c r="P15" s="1" t="n">
        <x:v>42</x:v>
      </x:c>
      <x:c r="Q15" s="1" t="n">
        <x:v>3</x:v>
      </x:c>
      <x:c r="R15" s="1" t="n">
        <x:v>108.3989088</x:v>
      </x:c>
      <x:c r="S15" s="1" t="n">
        <x:v>106.27344</x:v>
      </x:c>
      <x:c r="T15" s="1" t="n">
        <x:v>202.6217897</x:v>
      </x:c>
      <x:c r="U15" s="1" t="n">
        <x:v>0.209683794</x:v>
      </x:c>
      <x:c r="V15" s="1" t="n">
        <x:v>0.468631525</x:v>
      </x:c>
      <x:c r="W15" s="1" t="n">
        <x:v>178571</x:v>
      </x:c>
      <x:c r="X15" s="1" t="n">
        <x:v>94887</x:v>
      </x:c>
      <x:c r="Y15" s="1" t="n">
        <x:v>135498636</x:v>
      </x:c>
      <x:c r="Z15" s="1" t="n">
        <x:v>83684</x:v>
      </x:c>
      <x:c r="AA15" s="1" t="n">
        <x:v>52</x:v>
      </x:c>
      <x:c r="AB15" s="1" t="n">
        <x:v>2</x:v>
      </x:c>
    </x:row>
    <x:row r="16" ht="21" customHeight="1">
      <x:c r="A16" s="1" t="str">
        <x:v>bandwidth_60mhz_run_3</x:v>
      </x:c>
      <x:c r="B16" s="1" t="n">
        <x:v>52</x:v>
      </x:c>
      <x:c r="C16" s="1" t="str">
        <x:v>ns3</x:v>
      </x:c>
      <x:c r="D16" s="1" t="str">
        <x:v>experiments/execution_52/experiment_3/config.json</x:v>
      </x:c>
      <x:c r="E16" s="1" t="str">
        <x:v>experiments/execution_52/experiment_3/results.json</x:v>
      </x:c>
      <x:c r="F16" s="1" t="str">
        <x:v>/home/dinos/ns-allinone-3.47/ns-3.47/experiments/execution_52/experiment_3</x:v>
      </x:c>
      <x:c r="G16" s="1" t="n">
        <x:v>100</x:v>
      </x:c>
      <x:c r="H16" s="1" t="n">
        <x:v>100.3605998</x:v>
      </x:c>
      <x:c r="I16" s="1" t="n">
        <x:v>10</x:v>
      </x:c>
      <x:c r="J16" s="1" t="n">
        <x:v>200</x:v>
      </x:c>
      <x:c r="K16" s="1" t="n">
        <x:v>60000000</x:v>
      </x:c>
      <x:c r="L16" s="1" t="n">
        <x:v>2</x:v>
      </x:c>
      <x:c r="M16" s="1" t="str">
        <x:v>DL|UL|UL|UL|</x:v>
      </x:c>
      <x:c r="N16" s="1" t="n">
        <x:v>1400</x:v>
      </x:c>
      <x:c r="O16" s="1" t="n">
        <x:v>1048576</x:v>
      </x:c>
      <x:c r="P16" s="1" t="n">
        <x:v>42</x:v>
      </x:c>
      <x:c r="Q16" s="1" t="n">
        <x:v>3</x:v>
      </x:c>
      <x:c r="R16" s="1" t="n">
        <x:v>162.6400608</x:v>
      </x:c>
      <x:c r="S16" s="1" t="n">
        <x:v>159.45104</x:v>
      </x:c>
      <x:c r="T16" s="1" t="n">
        <x:v>106.1290699</x:v>
      </x:c>
      <x:c r="U16" s="1" t="n">
        <x:v>0.134342188</x:v>
      </x:c>
      <x:c r="V16" s="1" t="n">
        <x:v>0.202742887</x:v>
      </x:c>
      <x:c r="W16" s="1" t="n">
        <x:v>178571</x:v>
      </x:c>
      <x:c r="X16" s="1" t="n">
        <x:v>142367</x:v>
      </x:c>
      <x:c r="Y16" s="1" t="n">
        <x:v>203300076</x:v>
      </x:c>
      <x:c r="Z16" s="1" t="n">
        <x:v>36204</x:v>
      </x:c>
      <x:c r="AA16" s="1" t="n">
        <x:v>52</x:v>
      </x:c>
      <x:c r="AB16" s="1" t="n">
        <x:v>2</x:v>
      </x:c>
    </x:row>
    <x:row r="17" ht="21" customHeight="1">
      <x:c r="A17" s="1" t="str">
        <x:v>bandwidth_80mhz_run_3</x:v>
      </x:c>
      <x:c r="B17" s="1" t="n">
        <x:v>52</x:v>
      </x:c>
      <x:c r="C17" s="1" t="str">
        <x:v>ns3</x:v>
      </x:c>
      <x:c r="D17" s="1" t="str">
        <x:v>experiments/execution_52/experiment_4/config.json</x:v>
      </x:c>
      <x:c r="E17" s="1" t="str">
        <x:v>experiments/execution_52/experiment_4/results.json</x:v>
      </x:c>
      <x:c r="F17" s="1" t="str">
        <x:v>/home/dinos/ns-allinone-3.47/ns-3.47/experiments/execution_52/experiment_4</x:v>
      </x:c>
      <x:c r="G17" s="1" t="n">
        <x:v>100</x:v>
      </x:c>
      <x:c r="H17" s="1" t="n">
        <x:v>100.3605998</x:v>
      </x:c>
      <x:c r="I17" s="1" t="n">
        <x:v>10</x:v>
      </x:c>
      <x:c r="J17" s="1" t="n">
        <x:v>200</x:v>
      </x:c>
      <x:c r="K17" s="1" t="n">
        <x:v>80000000</x:v>
      </x:c>
      <x:c r="L17" s="1" t="n">
        <x:v>2</x:v>
      </x:c>
      <x:c r="M17" s="1" t="str">
        <x:v>DL|UL|UL|UL|</x:v>
      </x:c>
      <x:c r="N17" s="1" t="n">
        <x:v>1400</x:v>
      </x:c>
      <x:c r="O17" s="1" t="n">
        <x:v>1048576</x:v>
      </x:c>
      <x:c r="P17" s="1" t="n">
        <x:v>42</x:v>
      </x:c>
      <x:c r="Q17" s="1" t="n">
        <x:v>3</x:v>
      </x:c>
      <x:c r="R17" s="1" t="n">
        <x:v>201.3103008</x:v>
      </x:c>
      <x:c r="S17" s="1" t="n">
        <x:v>197.36304</x:v>
      </x:c>
      <x:c r="T17" s="1" t="n">
        <x:v>39.40772472</x:v>
      </x:c>
      <x:c r="U17" s="1" t="n">
        <x:v>0.099919108</x:v>
      </x:c>
      <x:c r="V17" s="1" t="n">
        <x:v>0.013182432</x:v>
      </x:c>
      <x:c r="W17" s="1" t="n">
        <x:v>178571</x:v>
      </x:c>
      <x:c r="X17" s="1" t="n">
        <x:v>176217</x:v>
      </x:c>
      <x:c r="Y17" s="1" t="n">
        <x:v>251637876</x:v>
      </x:c>
      <x:c r="Z17" s="1" t="n">
        <x:v>2354</x:v>
      </x:c>
      <x:c r="AA17" s="1" t="n">
        <x:v>52</x:v>
      </x:c>
      <x:c r="AB17" s="1" t="n">
        <x:v>2</x:v>
      </x:c>
    </x:row>
    <x:row r="18" ht="21" customHeight="1">
      <x:c r="A18" s="1" t="str">
        <x:v>bandwidth_100mhz_run_3</x:v>
      </x:c>
      <x:c r="B18" s="1" t="n">
        <x:v>52</x:v>
      </x:c>
      <x:c r="C18" s="1" t="str">
        <x:v>ns3</x:v>
      </x:c>
      <x:c r="D18" s="1" t="str">
        <x:v>experiments/execution_52/experiment_5/config.json</x:v>
      </x:c>
      <x:c r="E18" s="1" t="str">
        <x:v>experiments/execution_52/experiment_5/results.json</x:v>
      </x:c>
      <x:c r="F18" s="1" t="str">
        <x:v>/home/dinos/ns-allinone-3.47/ns-3.47/experiments/execution_52/experiment_5</x:v>
      </x:c>
      <x:c r="G18" s="1" t="n">
        <x:v>100</x:v>
      </x:c>
      <x:c r="H18" s="1" t="n">
        <x:v>100.3605998</x:v>
      </x:c>
      <x:c r="I18" s="1" t="n">
        <x:v>10</x:v>
      </x:c>
      <x:c r="J18" s="1" t="n">
        <x:v>200</x:v>
      </x:c>
      <x:c r="K18" s="1" t="n">
        <x:v>100000000</x:v>
      </x:c>
      <x:c r="L18" s="1" t="n">
        <x:v>2</x:v>
      </x:c>
      <x:c r="M18" s="1" t="str">
        <x:v>DL|UL|UL|UL|</x:v>
      </x:c>
      <x:c r="N18" s="1" t="n">
        <x:v>1400</x:v>
      </x:c>
      <x:c r="O18" s="1" t="n">
        <x:v>1048576</x:v>
      </x:c>
      <x:c r="P18" s="1" t="n">
        <x:v>42</x:v>
      </x:c>
      <x:c r="Q18" s="1" t="n">
        <x:v>3</x:v>
      </x:c>
      <x:c r="R18" s="1" t="n">
        <x:v>203.9995104</x:v>
      </x:c>
      <x:c r="S18" s="1" t="n">
        <x:v>199.99952</x:v>
      </x:c>
      <x:c r="T18" s="1" t="n">
        <x:v>3.653905933</x:v>
      </x:c>
      <x:c r="U18" s="1" t="n">
        <x:v>0.098973595</x:v>
      </x:c>
      <x:c r="V18" s="1" t="n">
        <x:v>0</x:v>
      </x:c>
      <x:c r="W18" s="1" t="n">
        <x:v>178571</x:v>
      </x:c>
      <x:c r="X18" s="1" t="n">
        <x:v>178571</x:v>
      </x:c>
      <x:c r="Y18" s="1" t="n">
        <x:v>254999388</x:v>
      </x:c>
      <x:c r="Z18" s="1" t="n">
        <x:v>0</x:v>
      </x:c>
      <x:c r="AA18" s="1" t="n">
        <x:v>52</x:v>
      </x:c>
      <x:c r="AB18" s="1" t="n">
        <x:v>2</x:v>
      </x:c>
    </x:row>
    <x:row r="19" ht="21" customHeight="1">
      <x:c r="A19" s="1" t="str">
        <x:v>bandwidth_20mhz_run_4</x:v>
      </x:c>
      <x:c r="B19" s="1" t="n">
        <x:v>53</x:v>
      </x:c>
      <x:c r="C19" s="1" t="str">
        <x:v>ns3</x:v>
      </x:c>
      <x:c r="D19" s="1" t="str">
        <x:v>experiments/execution_53/experiment_1/config.json</x:v>
      </x:c>
      <x:c r="E19" s="1" t="str">
        <x:v>experiments/execution_53/experiment_1/results.json</x:v>
      </x:c>
      <x:c r="F19" s="1" t="str">
        <x:v>/home/dinos/ns-allinone-3.47/ns-3.47/experiments/execution_53/experiment_1</x:v>
      </x:c>
      <x:c r="G19" s="1" t="n">
        <x:v>100</x:v>
      </x:c>
      <x:c r="H19" s="1" t="n">
        <x:v>100.3605998</x:v>
      </x:c>
      <x:c r="I19" s="1" t="n">
        <x:v>10</x:v>
      </x:c>
      <x:c r="J19" s="1" t="n">
        <x:v>200</x:v>
      </x:c>
      <x:c r="K19" s="1" t="n">
        <x:v>20000000</x:v>
      </x:c>
      <x:c r="L19" s="1" t="n">
        <x:v>2</x:v>
      </x:c>
      <x:c r="M19" s="1" t="str">
        <x:v>DL|UL|UL|UL|</x:v>
      </x:c>
      <x:c r="N19" s="1" t="n">
        <x:v>1400</x:v>
      </x:c>
      <x:c r="O19" s="1" t="n">
        <x:v>1048576</x:v>
      </x:c>
      <x:c r="P19" s="1" t="n">
        <x:v>42</x:v>
      </x:c>
      <x:c r="Q19" s="1" t="n">
        <x:v>4</x:v>
      </x:c>
      <x:c r="R19" s="1" t="n">
        <x:v>61.0030176</x:v>
      </x:c>
      <x:c r="S19" s="1" t="n">
        <x:v>59.80688</x:v>
      </x:c>
      <x:c r="T19" s="1" t="n">
        <x:v>140.1120941</x:v>
      </x:c>
      <x:c r="U19" s="1" t="n">
        <x:v>0.26740734</x:v>
      </x:c>
      <x:c r="V19" s="1" t="n">
        <x:v>0.700964882</x:v>
      </x:c>
      <x:c r="W19" s="1" t="n">
        <x:v>178571</x:v>
      </x:c>
      <x:c r="X19" s="1" t="n">
        <x:v>53399</x:v>
      </x:c>
      <x:c r="Y19" s="1" t="n">
        <x:v>76253772</x:v>
      </x:c>
      <x:c r="Z19" s="1" t="n">
        <x:v>125172</x:v>
      </x:c>
      <x:c r="AA19" s="1" t="n">
        <x:v>53</x:v>
      </x:c>
      <x:c r="AB19" s="1" t="n">
        <x:v>2</x:v>
      </x:c>
    </x:row>
    <x:row r="20" ht="21" customHeight="1">
      <x:c r="A20" s="1" t="str">
        <x:v>bandwidth_40mhz_run_4</x:v>
      </x:c>
      <x:c r="B20" s="1" t="n">
        <x:v>53</x:v>
      </x:c>
      <x:c r="C20" s="1" t="str">
        <x:v>ns3</x:v>
      </x:c>
      <x:c r="D20" s="1" t="str">
        <x:v>experiments/execution_53/experiment_2/config.json</x:v>
      </x:c>
      <x:c r="E20" s="1" t="str">
        <x:v>experiments/execution_53/experiment_2/results.json</x:v>
      </x:c>
      <x:c r="F20" s="1" t="str">
        <x:v>/home/dinos/ns-allinone-3.47/ns-3.47/experiments/execution_53/experiment_2</x:v>
      </x:c>
      <x:c r="G20" s="1" t="n">
        <x:v>100</x:v>
      </x:c>
      <x:c r="H20" s="1" t="n">
        <x:v>100.3605998</x:v>
      </x:c>
      <x:c r="I20" s="1" t="n">
        <x:v>10</x:v>
      </x:c>
      <x:c r="J20" s="1" t="n">
        <x:v>200</x:v>
      </x:c>
      <x:c r="K20" s="1" t="n">
        <x:v>40000000</x:v>
      </x:c>
      <x:c r="L20" s="1" t="n">
        <x:v>2</x:v>
      </x:c>
      <x:c r="M20" s="1" t="str">
        <x:v>DL|UL|UL|UL|</x:v>
      </x:c>
      <x:c r="N20" s="1" t="n">
        <x:v>1400</x:v>
      </x:c>
      <x:c r="O20" s="1" t="n">
        <x:v>1048576</x:v>
      </x:c>
      <x:c r="P20" s="1" t="n">
        <x:v>42</x:v>
      </x:c>
      <x:c r="Q20" s="1" t="n">
        <x:v>4</x:v>
      </x:c>
      <x:c r="R20" s="1" t="n">
        <x:v>108.2732448</x:v>
      </x:c>
      <x:c r="S20" s="1" t="n">
        <x:v>106.15024</x:v>
      </x:c>
      <x:c r="T20" s="1" t="n">
        <x:v>206.2462486</x:v>
      </x:c>
      <x:c r="U20" s="1" t="n">
        <x:v>0.208618152</x:v>
      </x:c>
      <x:c r="V20" s="1" t="n">
        <x:v>0.469247526</x:v>
      </x:c>
      <x:c r="W20" s="1" t="n">
        <x:v>178571</x:v>
      </x:c>
      <x:c r="X20" s="1" t="n">
        <x:v>94777</x:v>
      </x:c>
      <x:c r="Y20" s="1" t="n">
        <x:v>135341556</x:v>
      </x:c>
      <x:c r="Z20" s="1" t="n">
        <x:v>83794</x:v>
      </x:c>
      <x:c r="AA20" s="1" t="n">
        <x:v>53</x:v>
      </x:c>
      <x:c r="AB20" s="1" t="n">
        <x:v>2</x:v>
      </x:c>
    </x:row>
    <x:row r="21" ht="21" customHeight="1">
      <x:c r="A21" s="1" t="str">
        <x:v>bandwidth_60mhz_run_4</x:v>
      </x:c>
      <x:c r="B21" s="1" t="n">
        <x:v>53</x:v>
      </x:c>
      <x:c r="C21" s="1" t="str">
        <x:v>ns3</x:v>
      </x:c>
      <x:c r="D21" s="1" t="str">
        <x:v>experiments/execution_53/experiment_3/config.json</x:v>
      </x:c>
      <x:c r="E21" s="1" t="str">
        <x:v>experiments/execution_53/experiment_3/results.json</x:v>
      </x:c>
      <x:c r="F21" s="1" t="str">
        <x:v>/home/dinos/ns-allinone-3.47/ns-3.47/experiments/execution_53/experiment_3</x:v>
      </x:c>
      <x:c r="G21" s="1" t="n">
        <x:v>100</x:v>
      </x:c>
      <x:c r="H21" s="1" t="n">
        <x:v>100.3605998</x:v>
      </x:c>
      <x:c r="I21" s="1" t="n">
        <x:v>10</x:v>
      </x:c>
      <x:c r="J21" s="1" t="n">
        <x:v>200</x:v>
      </x:c>
      <x:c r="K21" s="1" t="n">
        <x:v>60000000</x:v>
      </x:c>
      <x:c r="L21" s="1" t="n">
        <x:v>2</x:v>
      </x:c>
      <x:c r="M21" s="1" t="str">
        <x:v>DL|UL|UL|UL|</x:v>
      </x:c>
      <x:c r="N21" s="1" t="n">
        <x:v>1400</x:v>
      </x:c>
      <x:c r="O21" s="1" t="n">
        <x:v>1048576</x:v>
      </x:c>
      <x:c r="P21" s="1" t="n">
        <x:v>42</x:v>
      </x:c>
      <x:c r="Q21" s="1" t="n">
        <x:v>4</x:v>
      </x:c>
      <x:c r="R21" s="1" t="n">
        <x:v>162.6868992</x:v>
      </x:c>
      <x:c r="S21" s="1" t="n">
        <x:v>159.49696</x:v>
      </x:c>
      <x:c r="T21" s="1" t="n">
        <x:v>102.3100078</x:v>
      </x:c>
      <x:c r="U21" s="1" t="n">
        <x:v>0.133473454</x:v>
      </x:c>
      <x:c r="V21" s="1" t="n">
        <x:v>0.202513286</x:v>
      </x:c>
      <x:c r="W21" s="1" t="n">
        <x:v>178571</x:v>
      </x:c>
      <x:c r="X21" s="1" t="n">
        <x:v>142408</x:v>
      </x:c>
      <x:c r="Y21" s="1" t="n">
        <x:v>203358624</x:v>
      </x:c>
      <x:c r="Z21" s="1" t="n">
        <x:v>36163</x:v>
      </x:c>
      <x:c r="AA21" s="1" t="n">
        <x:v>53</x:v>
      </x:c>
      <x:c r="AB21" s="1" t="n">
        <x:v>2</x:v>
      </x:c>
    </x:row>
    <x:row r="22" ht="21" customHeight="1">
      <x:c r="A22" s="1" t="str">
        <x:v>bandwidth_80mhz_run_4</x:v>
      </x:c>
      <x:c r="B22" s="1" t="n">
        <x:v>53</x:v>
      </x:c>
      <x:c r="C22" s="1" t="str">
        <x:v>ns3</x:v>
      </x:c>
      <x:c r="D22" s="1" t="str">
        <x:v>experiments/execution_53/experiment_4/config.json</x:v>
      </x:c>
      <x:c r="E22" s="1" t="str">
        <x:v>experiments/execution_53/experiment_4/results.json</x:v>
      </x:c>
      <x:c r="F22" s="1" t="str">
        <x:v>/home/dinos/ns-allinone-3.47/ns-3.47/experiments/execution_53/experiment_4</x:v>
      </x:c>
      <x:c r="G22" s="1" t="n">
        <x:v>100</x:v>
      </x:c>
      <x:c r="H22" s="1" t="n">
        <x:v>100.3605998</x:v>
      </x:c>
      <x:c r="I22" s="1" t="n">
        <x:v>10</x:v>
      </x:c>
      <x:c r="J22" s="1" t="n">
        <x:v>200</x:v>
      </x:c>
      <x:c r="K22" s="1" t="n">
        <x:v>80000000</x:v>
      </x:c>
      <x:c r="L22" s="1" t="n">
        <x:v>2</x:v>
      </x:c>
      <x:c r="M22" s="1" t="str">
        <x:v>DL|UL|UL|UL|</x:v>
      </x:c>
      <x:c r="N22" s="1" t="n">
        <x:v>1400</x:v>
      </x:c>
      <x:c r="O22" s="1" t="n">
        <x:v>1048576</x:v>
      </x:c>
      <x:c r="P22" s="1" t="n">
        <x:v>42</x:v>
      </x:c>
      <x:c r="Q22" s="1" t="n">
        <x:v>4</x:v>
      </x:c>
      <x:c r="R22" s="1" t="n">
        <x:v>201.3103008</x:v>
      </x:c>
      <x:c r="S22" s="1" t="n">
        <x:v>197.36304</x:v>
      </x:c>
      <x:c r="T22" s="1" t="n">
        <x:v>39.47015942</x:v>
      </x:c>
      <x:c r="U22" s="1" t="n">
        <x:v>0.100006201</x:v>
      </x:c>
      <x:c r="V22" s="1" t="n">
        <x:v>0.013182432</x:v>
      </x:c>
      <x:c r="W22" s="1" t="n">
        <x:v>178571</x:v>
      </x:c>
      <x:c r="X22" s="1" t="n">
        <x:v>176217</x:v>
      </x:c>
      <x:c r="Y22" s="1" t="n">
        <x:v>251637876</x:v>
      </x:c>
      <x:c r="Z22" s="1" t="n">
        <x:v>2354</x:v>
      </x:c>
      <x:c r="AA22" s="1" t="n">
        <x:v>53</x:v>
      </x:c>
      <x:c r="AB22" s="1" t="n">
        <x:v>2</x:v>
      </x:c>
    </x:row>
    <x:row r="23" ht="21" customHeight="1">
      <x:c r="A23" s="1" t="str">
        <x:v>bandwidth_100mhz_run_4</x:v>
      </x:c>
      <x:c r="B23" s="1" t="n">
        <x:v>53</x:v>
      </x:c>
      <x:c r="C23" s="1" t="str">
        <x:v>ns3</x:v>
      </x:c>
      <x:c r="D23" s="1" t="str">
        <x:v>experiments/execution_53/experiment_5/config.json</x:v>
      </x:c>
      <x:c r="E23" s="1" t="str">
        <x:v>experiments/execution_53/experiment_5/results.json</x:v>
      </x:c>
      <x:c r="F23" s="1" t="str">
        <x:v>/home/dinos/ns-allinone-3.47/ns-3.47/experiments/execution_53/experiment_5</x:v>
      </x:c>
      <x:c r="G23" s="1" t="n">
        <x:v>100</x:v>
      </x:c>
      <x:c r="H23" s="1" t="n">
        <x:v>100.3605998</x:v>
      </x:c>
      <x:c r="I23" s="1" t="n">
        <x:v>10</x:v>
      </x:c>
      <x:c r="J23" s="1" t="n">
        <x:v>200</x:v>
      </x:c>
      <x:c r="K23" s="1" t="n">
        <x:v>100000000</x:v>
      </x:c>
      <x:c r="L23" s="1" t="n">
        <x:v>2</x:v>
      </x:c>
      <x:c r="M23" s="1" t="str">
        <x:v>DL|UL|UL|UL|</x:v>
      </x:c>
      <x:c r="N23" s="1" t="n">
        <x:v>1400</x:v>
      </x:c>
      <x:c r="O23" s="1" t="n">
        <x:v>1048576</x:v>
      </x:c>
      <x:c r="P23" s="1" t="n">
        <x:v>42</x:v>
      </x:c>
      <x:c r="Q23" s="1" t="n">
        <x:v>4</x:v>
      </x:c>
      <x:c r="R23" s="1" t="n">
        <x:v>203.9995104</x:v>
      </x:c>
      <x:c r="S23" s="1" t="n">
        <x:v>199.99952</x:v>
      </x:c>
      <x:c r="T23" s="1" t="n">
        <x:v>3.650904051</x:v>
      </x:c>
      <x:c r="U23" s="1" t="n">
        <x:v>0.099049933</x:v>
      </x:c>
      <x:c r="V23" s="1" t="n">
        <x:v>0</x:v>
      </x:c>
      <x:c r="W23" s="1" t="n">
        <x:v>178571</x:v>
      </x:c>
      <x:c r="X23" s="1" t="n">
        <x:v>178571</x:v>
      </x:c>
      <x:c r="Y23" s="1" t="n">
        <x:v>254999388</x:v>
      </x:c>
      <x:c r="Z23" s="1" t="n">
        <x:v>0</x:v>
      </x:c>
      <x:c r="AA23" s="1" t="n">
        <x:v>53</x:v>
      </x:c>
      <x:c r="AB23" s="1" t="n">
        <x:v>2</x:v>
      </x:c>
    </x:row>
    <x:row r="24" ht="21" customHeight="1">
      <x:c r="A24" s="1" t="str">
        <x:v>bandwidth_20mhz_run_5</x:v>
      </x:c>
      <x:c r="B24" s="1" t="n">
        <x:v>54</x:v>
      </x:c>
      <x:c r="C24" s="1" t="str">
        <x:v>ns3</x:v>
      </x:c>
      <x:c r="D24" s="1" t="str">
        <x:v>experiments/execution_54/experiment_1/config.json</x:v>
      </x:c>
      <x:c r="E24" s="1" t="str">
        <x:v>experiments/execution_54/experiment_1/results.json</x:v>
      </x:c>
      <x:c r="F24" s="1" t="str">
        <x:v>/home/dinos/ns-allinone-3.47/ns-3.47/experiments/execution_54/experiment_1</x:v>
      </x:c>
      <x:c r="G24" s="1" t="n">
        <x:v>100</x:v>
      </x:c>
      <x:c r="H24" s="1" t="n">
        <x:v>100.3605998</x:v>
      </x:c>
      <x:c r="I24" s="1" t="n">
        <x:v>10</x:v>
      </x:c>
      <x:c r="J24" s="1" t="n">
        <x:v>200</x:v>
      </x:c>
      <x:c r="K24" s="1" t="n">
        <x:v>20000000</x:v>
      </x:c>
      <x:c r="L24" s="1" t="n">
        <x:v>2</x:v>
      </x:c>
      <x:c r="M24" s="1" t="str">
        <x:v>DL|UL|UL|UL|</x:v>
      </x:c>
      <x:c r="N24" s="1" t="n">
        <x:v>1400</x:v>
      </x:c>
      <x:c r="O24" s="1" t="n">
        <x:v>1048576</x:v>
      </x:c>
      <x:c r="P24" s="1" t="n">
        <x:v>42</x:v>
      </x:c>
      <x:c r="Q24" s="1" t="n">
        <x:v>5</x:v>
      </x:c>
      <x:c r="R24" s="1" t="n">
        <x:v>61.0030176</x:v>
      </x:c>
      <x:c r="S24" s="1" t="n">
        <x:v>59.80688</x:v>
      </x:c>
      <x:c r="T24" s="1" t="n">
        <x:v>140.1089754</x:v>
      </x:c>
      <x:c r="U24" s="1" t="n">
        <x:v>0.266586402</x:v>
      </x:c>
      <x:c r="V24" s="1" t="n">
        <x:v>0.700964882</x:v>
      </x:c>
      <x:c r="W24" s="1" t="n">
        <x:v>178571</x:v>
      </x:c>
      <x:c r="X24" s="1" t="n">
        <x:v>53399</x:v>
      </x:c>
      <x:c r="Y24" s="1" t="n">
        <x:v>76253772</x:v>
      </x:c>
      <x:c r="Z24" s="1" t="n">
        <x:v>125172</x:v>
      </x:c>
      <x:c r="AA24" s="1" t="n">
        <x:v>54</x:v>
      </x:c>
      <x:c r="AB24" s="1" t="n">
        <x:v>2</x:v>
      </x:c>
    </x:row>
    <x:row r="25" ht="21" customHeight="1">
      <x:c r="A25" s="1" t="str">
        <x:v>bandwidth_40mhz_run_5</x:v>
      </x:c>
      <x:c r="B25" s="1" t="n">
        <x:v>54</x:v>
      </x:c>
      <x:c r="C25" s="1" t="str">
        <x:v>ns3</x:v>
      </x:c>
      <x:c r="D25" s="1" t="str">
        <x:v>experiments/execution_54/experiment_2/config.json</x:v>
      </x:c>
      <x:c r="E25" s="1" t="str">
        <x:v>experiments/execution_54/experiment_2/results.json</x:v>
      </x:c>
      <x:c r="F25" s="1" t="str">
        <x:v>/home/dinos/ns-allinone-3.47/ns-3.47/experiments/execution_54/experiment_2</x:v>
      </x:c>
      <x:c r="G25" s="1" t="n">
        <x:v>100</x:v>
      </x:c>
      <x:c r="H25" s="1" t="n">
        <x:v>100.3605998</x:v>
      </x:c>
      <x:c r="I25" s="1" t="n">
        <x:v>10</x:v>
      </x:c>
      <x:c r="J25" s="1" t="n">
        <x:v>200</x:v>
      </x:c>
      <x:c r="K25" s="1" t="n">
        <x:v>40000000</x:v>
      </x:c>
      <x:c r="L25" s="1" t="n">
        <x:v>2</x:v>
      </x:c>
      <x:c r="M25" s="1" t="str">
        <x:v>DL|UL|UL|UL|</x:v>
      </x:c>
      <x:c r="N25" s="1" t="n">
        <x:v>1400</x:v>
      </x:c>
      <x:c r="O25" s="1" t="n">
        <x:v>1048576</x:v>
      </x:c>
      <x:c r="P25" s="1" t="n">
        <x:v>42</x:v>
      </x:c>
      <x:c r="Q25" s="1" t="n">
        <x:v>5</x:v>
      </x:c>
      <x:c r="R25" s="1" t="n">
        <x:v>107.9705088</x:v>
      </x:c>
      <x:c r="S25" s="1" t="n">
        <x:v>105.85344</x:v>
      </x:c>
      <x:c r="T25" s="1" t="n">
        <x:v>203.0214271</x:v>
      </x:c>
      <x:c r="U25" s="1" t="n">
        <x:v>0.209974672</x:v>
      </x:c>
      <x:c r="V25" s="1" t="n">
        <x:v>0.47073153</x:v>
      </x:c>
      <x:c r="W25" s="1" t="n">
        <x:v>178571</x:v>
      </x:c>
      <x:c r="X25" s="1" t="n">
        <x:v>94512</x:v>
      </x:c>
      <x:c r="Y25" s="1" t="n">
        <x:v>134963136</x:v>
      </x:c>
      <x:c r="Z25" s="1" t="n">
        <x:v>84059</x:v>
      </x:c>
      <x:c r="AA25" s="1" t="n">
        <x:v>54</x:v>
      </x:c>
      <x:c r="AB25" s="1" t="n">
        <x:v>2</x:v>
      </x:c>
    </x:row>
    <x:row r="26" ht="21" customHeight="1">
      <x:c r="A26" s="1" t="str">
        <x:v>bandwidth_60mhz_run_5</x:v>
      </x:c>
      <x:c r="B26" s="1" t="n">
        <x:v>54</x:v>
      </x:c>
      <x:c r="C26" s="1" t="str">
        <x:v>ns3</x:v>
      </x:c>
      <x:c r="D26" s="1" t="str">
        <x:v>experiments/execution_54/experiment_3/config.json</x:v>
      </x:c>
      <x:c r="E26" s="1" t="str">
        <x:v>experiments/execution_54/experiment_3/results.json</x:v>
      </x:c>
      <x:c r="F26" s="1" t="str">
        <x:v>/home/dinos/ns-allinone-3.47/ns-3.47/experiments/execution_54/experiment_3</x:v>
      </x:c>
      <x:c r="G26" s="1" t="n">
        <x:v>100</x:v>
      </x:c>
      <x:c r="H26" s="1" t="n">
        <x:v>100.3605998</x:v>
      </x:c>
      <x:c r="I26" s="1" t="n">
        <x:v>10</x:v>
      </x:c>
      <x:c r="J26" s="1" t="n">
        <x:v>200</x:v>
      </x:c>
      <x:c r="K26" s="1" t="n">
        <x:v>60000000</x:v>
      </x:c>
      <x:c r="L26" s="1" t="n">
        <x:v>2</x:v>
      </x:c>
      <x:c r="M26" s="1" t="str">
        <x:v>DL|UL|UL|UL|</x:v>
      </x:c>
      <x:c r="N26" s="1" t="n">
        <x:v>1400</x:v>
      </x:c>
      <x:c r="O26" s="1" t="n">
        <x:v>1048576</x:v>
      </x:c>
      <x:c r="P26" s="1" t="n">
        <x:v>42</x:v>
      </x:c>
      <x:c r="Q26" s="1" t="n">
        <x:v>5</x:v>
      </x:c>
      <x:c r="R26" s="1" t="n">
        <x:v>162.19224</x:v>
      </x:c>
      <x:c r="S26" s="1" t="n">
        <x:v>159.012</x:v>
      </x:c>
      <x:c r="T26" s="1" t="n">
        <x:v>124.9828733</x:v>
      </x:c>
      <x:c r="U26" s="1" t="n">
        <x:v>0.136356925</x:v>
      </x:c>
      <x:c r="V26" s="1" t="n">
        <x:v>0.204938092</x:v>
      </x:c>
      <x:c r="W26" s="1" t="n">
        <x:v>178571</x:v>
      </x:c>
      <x:c r="X26" s="1" t="n">
        <x:v>141975</x:v>
      </x:c>
      <x:c r="Y26" s="1" t="n">
        <x:v>202740300</x:v>
      </x:c>
      <x:c r="Z26" s="1" t="n">
        <x:v>36596</x:v>
      </x:c>
      <x:c r="AA26" s="1" t="n">
        <x:v>54</x:v>
      </x:c>
      <x:c r="AB26" s="1" t="n">
        <x:v>2</x:v>
      </x:c>
    </x:row>
    <x:row r="27" ht="21" customHeight="1">
      <x:c r="A27" s="1" t="str">
        <x:v>bandwidth_80mhz_run_5</x:v>
      </x:c>
      <x:c r="B27" s="1" t="n">
        <x:v>54</x:v>
      </x:c>
      <x:c r="C27" s="1" t="str">
        <x:v>ns3</x:v>
      </x:c>
      <x:c r="D27" s="1" t="str">
        <x:v>experiments/execution_54/experiment_4/config.json</x:v>
      </x:c>
      <x:c r="E27" s="1" t="str">
        <x:v>experiments/execution_54/experiment_4/results.json</x:v>
      </x:c>
      <x:c r="F27" s="1" t="str">
        <x:v>/home/dinos/ns-allinone-3.47/ns-3.47/experiments/execution_54/experiment_4</x:v>
      </x:c>
      <x:c r="G27" s="1" t="n">
        <x:v>100</x:v>
      </x:c>
      <x:c r="H27" s="1" t="n">
        <x:v>100.3605998</x:v>
      </x:c>
      <x:c r="I27" s="1" t="n">
        <x:v>10</x:v>
      </x:c>
      <x:c r="J27" s="1" t="n">
        <x:v>200</x:v>
      </x:c>
      <x:c r="K27" s="1" t="n">
        <x:v>80000000</x:v>
      </x:c>
      <x:c r="L27" s="1" t="n">
        <x:v>2</x:v>
      </x:c>
      <x:c r="M27" s="1" t="str">
        <x:v>DL|UL|UL|UL|</x:v>
      </x:c>
      <x:c r="N27" s="1" t="n">
        <x:v>1400</x:v>
      </x:c>
      <x:c r="O27" s="1" t="n">
        <x:v>1048576</x:v>
      </x:c>
      <x:c r="P27" s="1" t="n">
        <x:v>42</x:v>
      </x:c>
      <x:c r="Q27" s="1" t="n">
        <x:v>5</x:v>
      </x:c>
      <x:c r="R27" s="1" t="n">
        <x:v>201.3103008</x:v>
      </x:c>
      <x:c r="S27" s="1" t="n">
        <x:v>197.36304</x:v>
      </x:c>
      <x:c r="T27" s="1" t="n">
        <x:v>39.44518256</x:v>
      </x:c>
      <x:c r="U27" s="1" t="n">
        <x:v>0.099985767</x:v>
      </x:c>
      <x:c r="V27" s="1" t="n">
        <x:v>0.013182432</x:v>
      </x:c>
      <x:c r="W27" s="1" t="n">
        <x:v>178571</x:v>
      </x:c>
      <x:c r="X27" s="1" t="n">
        <x:v>176217</x:v>
      </x:c>
      <x:c r="Y27" s="1" t="n">
        <x:v>251637876</x:v>
      </x:c>
      <x:c r="Z27" s="1" t="n">
        <x:v>2354</x:v>
      </x:c>
      <x:c r="AA27" s="1" t="n">
        <x:v>54</x:v>
      </x:c>
      <x:c r="AB27" s="1" t="n">
        <x:v>2</x:v>
      </x:c>
    </x:row>
    <x:row r="28" ht="21" customHeight="1">
      <x:c r="A28" s="1" t="str">
        <x:v>bandwidth_100mhz_run_5</x:v>
      </x:c>
      <x:c r="B28" s="1" t="n">
        <x:v>54</x:v>
      </x:c>
      <x:c r="C28" s="1" t="str">
        <x:v>ns3</x:v>
      </x:c>
      <x:c r="D28" s="1" t="str">
        <x:v>experiments/execution_54/experiment_5/config.json</x:v>
      </x:c>
      <x:c r="E28" s="1" t="str">
        <x:v>experiments/execution_54/experiment_5/results.json</x:v>
      </x:c>
      <x:c r="F28" s="1" t="str">
        <x:v>/home/dinos/ns-allinone-3.47/ns-3.47/experiments/execution_54/experiment_5</x:v>
      </x:c>
      <x:c r="G28" s="1" t="n">
        <x:v>100</x:v>
      </x:c>
      <x:c r="H28" s="1" t="n">
        <x:v>100.3605998</x:v>
      </x:c>
      <x:c r="I28" s="1" t="n">
        <x:v>10</x:v>
      </x:c>
      <x:c r="J28" s="1" t="n">
        <x:v>200</x:v>
      </x:c>
      <x:c r="K28" s="1" t="n">
        <x:v>100000000</x:v>
      </x:c>
      <x:c r="L28" s="1" t="n">
        <x:v>2</x:v>
      </x:c>
      <x:c r="M28" s="1" t="str">
        <x:v>DL|UL|UL|UL|</x:v>
      </x:c>
      <x:c r="N28" s="1" t="n">
        <x:v>1400</x:v>
      </x:c>
      <x:c r="O28" s="1" t="n">
        <x:v>1048576</x:v>
      </x:c>
      <x:c r="P28" s="1" t="n">
        <x:v>42</x:v>
      </x:c>
      <x:c r="Q28" s="1" t="n">
        <x:v>5</x:v>
      </x:c>
      <x:c r="R28" s="1" t="n">
        <x:v>203.9995104</x:v>
      </x:c>
      <x:c r="S28" s="1" t="n">
        <x:v>199.99952</x:v>
      </x:c>
      <x:c r="T28" s="1" t="n">
        <x:v>3.644096886</x:v>
      </x:c>
      <x:c r="U28" s="1" t="n">
        <x:v>0.09911271</x:v>
      </x:c>
      <x:c r="V28" s="1" t="n">
        <x:v>0</x:v>
      </x:c>
      <x:c r="W28" s="1" t="n">
        <x:v>178571</x:v>
      </x:c>
      <x:c r="X28" s="1" t="n">
        <x:v>178571</x:v>
      </x:c>
      <x:c r="Y28" s="1" t="n">
        <x:v>254999388</x:v>
      </x:c>
      <x:c r="Z28" s="1" t="n">
        <x:v>0</x:v>
      </x:c>
      <x:c r="AA28" s="1" t="n">
        <x:v>54</x:v>
      </x:c>
      <x:c r="AB28" s="1" t="n">
        <x:v>2</x:v>
      </x:c>
    </x:row>
    <x:row r="29" ht="21" customHeight="1">
      <x:c r="A29" s="1" t="str">
        <x:v>bandwidth_20mhz_run_1</x:v>
      </x:c>
      <x:c r="B29" s="1" t="n">
        <x:v>55</x:v>
      </x:c>
      <x:c r="C29" s="1" t="str">
        <x:v>ns3</x:v>
      </x:c>
      <x:c r="D29" s="1" t="str">
        <x:v>experiments/execution_55/experiment_1/config.json</x:v>
      </x:c>
      <x:c r="E29" s="1" t="str">
        <x:v>experiments/execution_55/experiment_1/results.json</x:v>
      </x:c>
      <x:c r="F29" s="1" t="str">
        <x:v>/home/dinos/ns-allinone-3.47/ns-3.47/experiments/execution_55/experiment_1</x:v>
      </x:c>
      <x:c r="G29" s="1" t="n">
        <x:v>100</x:v>
      </x:c>
      <x:c r="H29" s="1" t="n">
        <x:v>100.3605998</x:v>
      </x:c>
      <x:c r="I29" s="1" t="n">
        <x:v>10</x:v>
      </x:c>
      <x:c r="J29" s="1" t="n">
        <x:v>200</x:v>
      </x:c>
      <x:c r="K29" s="1" t="n">
        <x:v>20000000</x:v>
      </x:c>
      <x:c r="L29" s="1" t="n">
        <x:v>2</x:v>
      </x:c>
      <x:c r="M29" s="1" t="str">
        <x:v>DL|UL|UL|UL|</x:v>
      </x:c>
      <x:c r="N29" s="1" t="n">
        <x:v>1400</x:v>
      </x:c>
      <x:c r="O29" s="1" t="n">
        <x:v>1048576</x:v>
      </x:c>
      <x:c r="P29" s="1" t="n">
        <x:v>42</x:v>
      </x:c>
      <x:c r="Q29" s="1" t="n">
        <x:v>1</x:v>
      </x:c>
      <x:c r="R29" s="1" t="n">
        <x:v>61.0030176</x:v>
      </x:c>
      <x:c r="S29" s="1" t="n">
        <x:v>59.80688</x:v>
      </x:c>
      <x:c r="T29" s="1" t="n">
        <x:v>140.1106924</x:v>
      </x:c>
      <x:c r="U29" s="1" t="n">
        <x:v>0.265924513</x:v>
      </x:c>
      <x:c r="V29" s="1" t="n">
        <x:v>0.700964882</x:v>
      </x:c>
      <x:c r="W29" s="1" t="n">
        <x:v>178571</x:v>
      </x:c>
      <x:c r="X29" s="1" t="n">
        <x:v>53399</x:v>
      </x:c>
      <x:c r="Y29" s="1" t="n">
        <x:v>76253772</x:v>
      </x:c>
      <x:c r="Z29" s="1" t="n">
        <x:v>125172</x:v>
      </x:c>
      <x:c r="AA29" s="1" t="n">
        <x:v>55</x:v>
      </x:c>
      <x:c r="AB29" s="1" t="n">
        <x:v>5</x:v>
      </x:c>
    </x:row>
    <x:row r="30" ht="21" customHeight="1">
      <x:c r="A30" s="1" t="str">
        <x:v>bandwidth_40mhz_run_1</x:v>
      </x:c>
      <x:c r="B30" s="1" t="n">
        <x:v>55</x:v>
      </x:c>
      <x:c r="C30" s="1" t="str">
        <x:v>ns3</x:v>
      </x:c>
      <x:c r="D30" s="1" t="str">
        <x:v>experiments/execution_55/experiment_2/config.json</x:v>
      </x:c>
      <x:c r="E30" s="1" t="str">
        <x:v>experiments/execution_55/experiment_2/results.json</x:v>
      </x:c>
      <x:c r="F30" s="1" t="str">
        <x:v>/home/dinos/ns-allinone-3.47/ns-3.47/experiments/execution_55/experiment_2</x:v>
      </x:c>
      <x:c r="G30" s="1" t="n">
        <x:v>100</x:v>
      </x:c>
      <x:c r="H30" s="1" t="n">
        <x:v>100.3605998</x:v>
      </x:c>
      <x:c r="I30" s="1" t="n">
        <x:v>10</x:v>
      </x:c>
      <x:c r="J30" s="1" t="n">
        <x:v>200</x:v>
      </x:c>
      <x:c r="K30" s="1" t="n">
        <x:v>40000000</x:v>
      </x:c>
      <x:c r="L30" s="1" t="n">
        <x:v>2</x:v>
      </x:c>
      <x:c r="M30" s="1" t="str">
        <x:v>DL|UL|UL|UL|</x:v>
      </x:c>
      <x:c r="N30" s="1" t="n">
        <x:v>1400</x:v>
      </x:c>
      <x:c r="O30" s="1" t="n">
        <x:v>1048576</x:v>
      </x:c>
      <x:c r="P30" s="1" t="n">
        <x:v>42</x:v>
      </x:c>
      <x:c r="Q30" s="1" t="n">
        <x:v>1</x:v>
      </x:c>
      <x:c r="R30" s="1" t="n">
        <x:v>108.3235104</x:v>
      </x:c>
      <x:c r="S30" s="1" t="n">
        <x:v>106.19952</x:v>
      </x:c>
      <x:c r="T30" s="1" t="n">
        <x:v>202.5822518</x:v>
      </x:c>
      <x:c r="U30" s="1" t="n">
        <x:v>0.208571443</x:v>
      </x:c>
      <x:c r="V30" s="1" t="n">
        <x:v>0.469001126</x:v>
      </x:c>
      <x:c r="W30" s="1" t="n">
        <x:v>178571</x:v>
      </x:c>
      <x:c r="X30" s="1" t="n">
        <x:v>94821</x:v>
      </x:c>
      <x:c r="Y30" s="1" t="n">
        <x:v>135404388</x:v>
      </x:c>
      <x:c r="Z30" s="1" t="n">
        <x:v>83750</x:v>
      </x:c>
      <x:c r="AA30" s="1" t="n">
        <x:v>55</x:v>
      </x:c>
      <x:c r="AB30" s="1" t="n">
        <x:v>5</x:v>
      </x:c>
    </x:row>
    <x:row r="31" ht="21" customHeight="1">
      <x:c r="A31" s="1" t="str">
        <x:v>bandwidth_60mhz_run_1</x:v>
      </x:c>
      <x:c r="B31" s="1" t="n">
        <x:v>55</x:v>
      </x:c>
      <x:c r="C31" s="1" t="str">
        <x:v>ns3</x:v>
      </x:c>
      <x:c r="D31" s="1" t="str">
        <x:v>experiments/execution_55/experiment_3/config.json</x:v>
      </x:c>
      <x:c r="E31" s="1" t="str">
        <x:v>experiments/execution_55/experiment_3/results.json</x:v>
      </x:c>
      <x:c r="F31" s="1" t="str">
        <x:v>/home/dinos/ns-allinone-3.47/ns-3.47/experiments/execution_55/experiment_3</x:v>
      </x:c>
      <x:c r="G31" s="1" t="n">
        <x:v>100</x:v>
      </x:c>
      <x:c r="H31" s="1" t="n">
        <x:v>100.3605998</x:v>
      </x:c>
      <x:c r="I31" s="1" t="n">
        <x:v>10</x:v>
      </x:c>
      <x:c r="J31" s="1" t="n">
        <x:v>200</x:v>
      </x:c>
      <x:c r="K31" s="1" t="n">
        <x:v>60000000</x:v>
      </x:c>
      <x:c r="L31" s="1" t="n">
        <x:v>2</x:v>
      </x:c>
      <x:c r="M31" s="1" t="str">
        <x:v>DL|UL|UL|UL|</x:v>
      </x:c>
      <x:c r="N31" s="1" t="n">
        <x:v>1400</x:v>
      </x:c>
      <x:c r="O31" s="1" t="n">
        <x:v>1048576</x:v>
      </x:c>
      <x:c r="P31" s="1" t="n">
        <x:v>42</x:v>
      </x:c>
      <x:c r="Q31" s="1" t="n">
        <x:v>1</x:v>
      </x:c>
      <x:c r="R31" s="1" t="n">
        <x:v>162.4709856</x:v>
      </x:c>
      <x:c r="S31" s="1" t="n">
        <x:v>159.28528</x:v>
      </x:c>
      <x:c r="T31" s="1" t="n">
        <x:v>116.1393969</x:v>
      </x:c>
      <x:c r="U31" s="1" t="n">
        <x:v>0.135653103</x:v>
      </x:c>
      <x:c r="V31" s="1" t="n">
        <x:v>0.203571689</x:v>
      </x:c>
      <x:c r="W31" s="1" t="n">
        <x:v>178571</x:v>
      </x:c>
      <x:c r="X31" s="1" t="n">
        <x:v>142219</x:v>
      </x:c>
      <x:c r="Y31" s="1" t="n">
        <x:v>203088732</x:v>
      </x:c>
      <x:c r="Z31" s="1" t="n">
        <x:v>36352</x:v>
      </x:c>
      <x:c r="AA31" s="1" t="n">
        <x:v>55</x:v>
      </x:c>
      <x:c r="AB31" s="1" t="n">
        <x:v>5</x:v>
      </x:c>
    </x:row>
    <x:row r="32" ht="21" customHeight="1">
      <x:c r="A32" s="1" t="str">
        <x:v>bandwidth_80mhz_run_1</x:v>
      </x:c>
      <x:c r="B32" s="1" t="n">
        <x:v>55</x:v>
      </x:c>
      <x:c r="C32" s="1" t="str">
        <x:v>ns3</x:v>
      </x:c>
      <x:c r="D32" s="1" t="str">
        <x:v>experiments/execution_55/experiment_4/config.json</x:v>
      </x:c>
      <x:c r="E32" s="1" t="str">
        <x:v>experiments/execution_55/experiment_4/results.json</x:v>
      </x:c>
      <x:c r="F32" s="1" t="str">
        <x:v>/home/dinos/ns-allinone-3.47/ns-3.47/experiments/execution_55/experiment_4</x:v>
      </x:c>
      <x:c r="G32" s="1" t="n">
        <x:v>100</x:v>
      </x:c>
      <x:c r="H32" s="1" t="n">
        <x:v>100.3605998</x:v>
      </x:c>
      <x:c r="I32" s="1" t="n">
        <x:v>10</x:v>
      </x:c>
      <x:c r="J32" s="1" t="n">
        <x:v>200</x:v>
      </x:c>
      <x:c r="K32" s="1" t="n">
        <x:v>80000000</x:v>
      </x:c>
      <x:c r="L32" s="1" t="n">
        <x:v>2</x:v>
      </x:c>
      <x:c r="M32" s="1" t="str">
        <x:v>DL|UL|UL|UL|</x:v>
      </x:c>
      <x:c r="N32" s="1" t="n">
        <x:v>1400</x:v>
      </x:c>
      <x:c r="O32" s="1" t="n">
        <x:v>1048576</x:v>
      </x:c>
      <x:c r="P32" s="1" t="n">
        <x:v>42</x:v>
      </x:c>
      <x:c r="Q32" s="1" t="n">
        <x:v>1</x:v>
      </x:c>
      <x:c r="R32" s="1" t="n">
        <x:v>201.3103008</x:v>
      </x:c>
      <x:c r="S32" s="1" t="n">
        <x:v>197.36304</x:v>
      </x:c>
      <x:c r="T32" s="1" t="n">
        <x:v>39.43865215</x:v>
      </x:c>
      <x:c r="U32" s="1" t="n">
        <x:v>0.099980401</x:v>
      </x:c>
      <x:c r="V32" s="1" t="n">
        <x:v>0.013182432</x:v>
      </x:c>
      <x:c r="W32" s="1" t="n">
        <x:v>178571</x:v>
      </x:c>
      <x:c r="X32" s="1" t="n">
        <x:v>176217</x:v>
      </x:c>
      <x:c r="Y32" s="1" t="n">
        <x:v>251637876</x:v>
      </x:c>
      <x:c r="Z32" s="1" t="n">
        <x:v>2354</x:v>
      </x:c>
      <x:c r="AA32" s="1" t="n">
        <x:v>55</x:v>
      </x:c>
      <x:c r="AB32" s="1" t="n">
        <x:v>5</x:v>
      </x:c>
    </x:row>
    <x:row r="33" ht="21" customHeight="1">
      <x:c r="A33" s="1" t="str">
        <x:v>bandwidth_100mhz_run_1</x:v>
      </x:c>
      <x:c r="B33" s="1" t="n">
        <x:v>55</x:v>
      </x:c>
      <x:c r="C33" s="1" t="str">
        <x:v>ns3</x:v>
      </x:c>
      <x:c r="D33" s="1" t="str">
        <x:v>experiments/execution_55/experiment_5/config.json</x:v>
      </x:c>
      <x:c r="E33" s="1" t="str">
        <x:v>experiments/execution_55/experiment_5/results.json</x:v>
      </x:c>
      <x:c r="F33" s="1" t="str">
        <x:v>/home/dinos/ns-allinone-3.47/ns-3.47/experiments/execution_55/experiment_5</x:v>
      </x:c>
      <x:c r="G33" s="1" t="n">
        <x:v>100</x:v>
      </x:c>
      <x:c r="H33" s="1" t="n">
        <x:v>100.3605998</x:v>
      </x:c>
      <x:c r="I33" s="1" t="n">
        <x:v>10</x:v>
      </x:c>
      <x:c r="J33" s="1" t="n">
        <x:v>200</x:v>
      </x:c>
      <x:c r="K33" s="1" t="n">
        <x:v>100000000</x:v>
      </x:c>
      <x:c r="L33" s="1" t="n">
        <x:v>2</x:v>
      </x:c>
      <x:c r="M33" s="1" t="str">
        <x:v>DL|UL|UL|UL|</x:v>
      </x:c>
      <x:c r="N33" s="1" t="n">
        <x:v>1400</x:v>
      </x:c>
      <x:c r="O33" s="1" t="n">
        <x:v>1048576</x:v>
      </x:c>
      <x:c r="P33" s="1" t="n">
        <x:v>42</x:v>
      </x:c>
      <x:c r="Q33" s="1" t="n">
        <x:v>1</x:v>
      </x:c>
      <x:c r="R33" s="1" t="n">
        <x:v>203.9995104</x:v>
      </x:c>
      <x:c r="S33" s="1" t="n">
        <x:v>199.99952</x:v>
      </x:c>
      <x:c r="T33" s="1" t="n">
        <x:v>3.653616326</x:v>
      </x:c>
      <x:c r="U33" s="1" t="n">
        <x:v>0.099031597</x:v>
      </x:c>
      <x:c r="V33" s="1" t="n">
        <x:v>0</x:v>
      </x:c>
      <x:c r="W33" s="1" t="n">
        <x:v>178571</x:v>
      </x:c>
      <x:c r="X33" s="1" t="n">
        <x:v>178571</x:v>
      </x:c>
      <x:c r="Y33" s="1" t="n">
        <x:v>254999388</x:v>
      </x:c>
      <x:c r="Z33" s="1" t="n">
        <x:v>0</x:v>
      </x:c>
      <x:c r="AA33" s="1" t="n">
        <x:v>55</x:v>
      </x:c>
      <x:c r="AB33" s="1" t="n">
        <x:v>5</x:v>
      </x:c>
    </x:row>
    <x:row r="34" ht="21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</x:row>
    <x:row r="35" ht="21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</x:row>
    <x:row r="36" ht="21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</x:row>
    <x:row r="38" ht="21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</x:row>
    <x:row r="46" ht="21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</x:row>
    <x:row r="57" ht="2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</x:row>
    <x:row r="58" ht="2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</x:row>
    <x:row r="59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</x:row>
    <x:row r="62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</x:row>
    <x:row r="65" ht="21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</x:row>
    <x:row r="66" ht="21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</x:row>
    <x:row r="67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</x:row>
    <x:row r="72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</x:row>
  </x:sheetData>
  <x:pageMargins left="0.7" right="0.7" top="0.75" bottom="0.75" header="0.3" footer="0.3"/>
</x:worksheet>
</file>