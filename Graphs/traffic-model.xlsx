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5606bbfa4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Σύνοψη" sheetId="1" r:id="Rf724633e1daf492a"/>
    <x:sheet xmlns:r="http://schemas.openxmlformats.org/officeDocument/2006/relationships" name="Μετρήσεις" sheetId="2" r:id="Ra53f6e5d4d814082"/>
  </x:sheets>
</x:workbook>
</file>

<file path=xl/comments1.xml><?xml version="1.0" encoding="utf-8"?>
<x:comments xmlns:x="http://schemas.openxmlformats.org/spreadsheetml/2006/main">
  <x:authors>
    <x:author>tc={437B76D5-E3B2-4BF8-B8C5-C5F433D58A69}</x:author>
    <x:author>tc={37766356-0CB2-4EB4-BB1C-C2490554D741}</x:author>
    <x:author>tc={4F956AA1-E5CF-4C34-A6FF-903D4586865C}</x:author>
  </x:authors>
  <x:commentList>
    <x:comment ref="A1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Κοινός θεωρητικός μέσος στόχος 200 Mbps. CBR: 200 Mbps συνεχώς. On/Off: 400 Mbps στο ON, με ON/OFF 100 ms (σταθερές ή μέσες εκθετικές διάρκειες). Το πραγματικό φορτίο μετριέται από application Tx bytes /10 s και δεν απαιτείται να ισούται με τον στόχο.</x:t>
        </x:r>
      </x:text>
    </x:comment>
    <x:comment ref="A1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Στις διαγνωστικές δοκιμές: Constant 12.097 μη παραληφθέντα και 12.097 buffer-full logs· Exponential 22.287 και 22.287 αντίστοιχα. HOL logs: 0 και στα δύο. Τα counters τεκμηριώνουν υπερχείλιση RLC UM για αυτές τις δοκιμές. Στο Constant, drain 10 s αντί 2 s δεν άλλαξε το goodput.</x:t>
        </x:r>
      </x:text>
    </x:comment>
    <x:comment ref="A1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Η κύρια μελέτη είναι στα 100 m και οριζόντιο beamwidth 120°. Τα διαγνωστικά ήταν στα 50 m και 360°. Δεν έγινε αντίστοιχη καταγραφή drops στα 100 m. Δεν αποδίδουμε όλες τις απώλειες των 15 runs σε επιβεβαιωμένη υπερχείλιση ούτε απομονώνουμε την τυχαιότητα από τη μεταβολή πραγματικού φορτίου.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0"/>
    <x:numFmt numFmtId="201" formatCode="0.000000"/>
  </x:numFmts>
  <x:fonts count="6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203047"/>
      <x:name val="Arial"/>
    </x:font>
    <x:font>
      <x:b/>
      <x:sz val="17"/>
      <x:color rgb="FF203047"/>
      <x:name val="Arial"/>
    </x:font>
    <x:font>
      <x:b/>
      <x:sz val="11"/>
      <x:color rgb="FF2030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201" fontId="3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d0286bfd94745" /><Relationship Type="http://schemas.openxmlformats.org/officeDocument/2006/relationships/theme" Target="/xl/theme/theme1.xml" Id="R2d8c90529a424325" /><Relationship Type="http://schemas.microsoft.com/office/2022/11/relationships/FeaturePropertyBag" Target="/xl/featurePropertyBag/featurePropertyBag.xml" Id="Rdf90105344e146c6" /><Relationship Type="http://schemas.openxmlformats.org/officeDocument/2006/relationships/sharedStrings" Target="/xl/sharedStrings.xml" Id="R7b3cf0c85211486b" /><Relationship Type="http://schemas.openxmlformats.org/officeDocument/2006/relationships/worksheet" Target="/xl/worksheets/sheet1.xml" Id="Rf724633e1daf492a" /><Relationship Type="http://schemas.openxmlformats.org/officeDocument/2006/relationships/worksheet" Target="/xl/worksheets/sheet2.xml" Id="Ra53f6e5d4d814082" /><Relationship Type="http://schemas.microsoft.com/office/2017/10/relationships/person" Target="/xl/persons/person.xml" Id="Rc23cb579cd9f41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483c0b25884727" /><Relationship Type="http://schemas.openxmlformats.org/officeDocument/2006/relationships/chart" Target="/xl/drawings/charts/chart2.xml" Id="R9b23653d2fe7447c" /><Relationship Type="http://schemas.openxmlformats.org/officeDocument/2006/relationships/chart" Target="/xl/drawings/charts/chart3.xml" Id="Rfc5726619a564aba" /><Relationship Type="http://schemas.openxmlformats.org/officeDocument/2006/relationships/chart" Target="/xl/drawings/charts/chart4.xml" Id="R268790d484834e13" /><Relationship Type="http://schemas.openxmlformats.org/officeDocument/2006/relationships/chart" Target="/xl/drawings/charts/chart5.xml" Id="R804f6b1f5d3e45a7" /><Relationship Type="http://schemas.openxmlformats.org/officeDocument/2006/relationships/chart" Target="/xl/drawings/charts/chart6.xml" Id="R2b4157804ba247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IP throughput (Mbps)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IP throughput (Mbps)</c:v>
          </c:tx>
          <c:spPr>
            <a:solidFill xmlns:a="http://schemas.openxmlformats.org/drawingml/2006/main">
              <a:srgbClr val="246B9B"/>
            </a:solidFill>
          </c:spPr>
          <c:invertIfNegative val="0"/>
          <c:errBars>
            <c:errDir val="y"/>
            <c:errBarType val="both"/>
            <c:errValType val="cust"/>
            <c:noEndCap val="0"/>
            <c:plus>
              <c:numRef>
                <c:f>'Σύνοψη'!$D$7:$D$9</c:f>
                <c:numCache>
                  <c:formatCode>0.000000</c:formatCode>
                  <c:ptCount val="3"/>
                  <c:pt idx="0">
                    <c:v>0</c:v>
                  </c:pt>
                  <c:pt idx="1">
                    <c:v>0.10950069369642824</c:v>
                  </c:pt>
                  <c:pt idx="2">
                    <c:v>10.287886437994045</c:v>
                  </c:pt>
                </c:numCache>
              </c:numRef>
            </c:plus>
            <c:minus>
              <c:numRef>
                <c:f>'Σύνοψη'!$D$7:$D$9</c:f>
                <c:numCache>
                  <c:formatCode>0.000000</c:formatCode>
                  <c:ptCount val="3"/>
                  <c:pt idx="0">
                    <c:v>0</c:v>
                  </c:pt>
                  <c:pt idx="1">
                    <c:v>0.10950069369642824</c:v>
                  </c:pt>
                  <c:pt idx="2">
                    <c:v>10.287886437994045</c:v>
                  </c:pt>
                </c:numCache>
              </c:numRef>
            </c:minus>
          </c:errBars>
          <c:cat>
            <c:strRef>
              <c:f>'Σύνοψη'!$A$7:$A$9</c:f>
              <c:strCache>
                <c:ptCount val="0"/>
              </c:strCache>
            </c:strRef>
          </c:cat>
          <c:val>
            <c:numRef>
              <c:f>'Σύνοψη'!$C$7:$C$9</c:f>
              <c:numCache>
                <c:formatCode>0.000000</c:formatCode>
                <c:ptCount val="3"/>
                <c:pt idx="0">
                  <c:v>203.9995104</c:v>
                </c:pt>
                <c:pt idx="1">
                  <c:v>154.6284096</c:v>
                </c:pt>
                <c:pt idx="2">
                  <c:v>146.18447424000001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234.5994369599999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Goodput (Mbps)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Goodput (Mbps)</c:v>
          </c:tx>
          <c:spPr>
            <a:solidFill xmlns:a="http://schemas.openxmlformats.org/drawingml/2006/main">
              <a:srgbClr val="246B9B"/>
            </a:solidFill>
          </c:spPr>
          <c:invertIfNegative val="0"/>
          <c:errBars>
            <c:errDir val="y"/>
            <c:errBarType val="both"/>
            <c:errValType val="cust"/>
            <c:noEndCap val="0"/>
            <c:plus>
              <c:numRef>
                <c:f>'Σύνοψη'!$F$7:$F$9</c:f>
                <c:numCache>
                  <c:formatCode>0.000000</c:formatCode>
                  <c:ptCount val="3"/>
                  <c:pt idx="0">
                    <c:v>0</c:v>
                  </c:pt>
                  <c:pt idx="1">
                    <c:v>0.10735362127101145</c:v>
                  </c:pt>
                  <c:pt idx="2">
                    <c:v>10.086163174503962</c:v>
                  </c:pt>
                </c:numCache>
              </c:numRef>
            </c:plus>
            <c:minus>
              <c:numRef>
                <c:f>'Σύνοψη'!$F$7:$F$9</c:f>
                <c:numCache>
                  <c:formatCode>0.000000</c:formatCode>
                  <c:ptCount val="3"/>
                  <c:pt idx="0">
                    <c:v>0</c:v>
                  </c:pt>
                  <c:pt idx="1">
                    <c:v>0.10735362127101145</c:v>
                  </c:pt>
                  <c:pt idx="2">
                    <c:v>10.086163174503962</c:v>
                  </c:pt>
                </c:numCache>
              </c:numRef>
            </c:minus>
          </c:errBars>
          <c:cat>
            <c:strRef>
              <c:f>'Σύνοψη'!$A$7:$A$9</c:f>
              <c:strCache>
                <c:ptCount val="0"/>
              </c:strCache>
            </c:strRef>
          </c:cat>
          <c:val>
            <c:numRef>
              <c:f>'Σύνοψη'!$E$7:$E$9</c:f>
              <c:numCache>
                <c:formatCode>0.000000</c:formatCode>
                <c:ptCount val="3"/>
                <c:pt idx="0">
                  <c:v>199.99952</c:v>
                </c:pt>
                <c:pt idx="1">
                  <c:v>151.59647999999999</c:v>
                </c:pt>
                <c:pt idx="2">
                  <c:v>143.31811199999999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229.99944799999997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Delay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Delay (ms)</c:v>
          </c:tx>
          <c:spPr>
            <a:solidFill xmlns:a="http://schemas.openxmlformats.org/drawingml/2006/main">
              <a:srgbClr val="246B9B"/>
            </a:solidFill>
          </c:spPr>
          <c:invertIfNegative val="0"/>
          <c:errBars>
            <c:errDir val="y"/>
            <c:errBarType val="both"/>
            <c:errValType val="cust"/>
            <c:noEndCap val="0"/>
            <c:plus>
              <c:numRef>
                <c:f>'Σύνοψη'!$H$7:$H$9</c:f>
                <c:numCache>
                  <c:formatCode>0.000000</c:formatCode>
                  <c:ptCount val="3"/>
                  <c:pt idx="0">
                    <c:v>0.004267710106953936</c:v>
                  </c:pt>
                  <c:pt idx="1">
                    <c:v>0.022093010138958556</c:v>
                  </c:pt>
                  <c:pt idx="2">
                    <c:v>1.3732747223175255</c:v>
                  </c:pt>
                </c:numCache>
              </c:numRef>
            </c:plus>
            <c:minus>
              <c:numRef>
                <c:f>'Σύνοψη'!$H$7:$H$9</c:f>
                <c:numCache>
                  <c:formatCode>0.000000</c:formatCode>
                  <c:ptCount val="3"/>
                  <c:pt idx="0">
                    <c:v>0.004267710106953936</c:v>
                  </c:pt>
                  <c:pt idx="1">
                    <c:v>0.022093010138958556</c:v>
                  </c:pt>
                  <c:pt idx="2">
                    <c:v>1.3732747223175255</c:v>
                  </c:pt>
                </c:numCache>
              </c:numRef>
            </c:minus>
          </c:errBars>
          <c:cat>
            <c:strRef>
              <c:f>'Σύνοψη'!$A$7:$A$9</c:f>
              <c:strCache>
                <c:ptCount val="0"/>
              </c:strCache>
            </c:strRef>
          </c:cat>
          <c:val>
            <c:numRef>
              <c:f>'Σύνοψη'!$G$7:$G$9</c:f>
              <c:numCache>
                <c:formatCode>0.000000</c:formatCode>
                <c:ptCount val="3"/>
                <c:pt idx="0">
                  <c:v>3.6436957675999997</c:v>
                </c:pt>
                <c:pt idx="1">
                  <c:v>28.671012509999997</c:v>
                </c:pt>
                <c:pt idx="2">
                  <c:v>30.564736192000005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36.7287125514651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Loss after drain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Loss after drain (%)</c:v>
          </c:tx>
          <c:spPr>
            <a:solidFill xmlns:a="http://schemas.openxmlformats.org/drawingml/2006/main">
              <a:srgbClr val="246B9B"/>
            </a:solidFill>
          </c:spPr>
          <c:invertIfNegative val="0"/>
          <c:errBars>
            <c:errDir val="y"/>
            <c:errBarType val="both"/>
            <c:errValType val="cust"/>
            <c:noEndCap val="0"/>
            <c:plus>
              <c:numRef>
                <c:f>'Σύνοψη'!$J$7:$J$9</c:f>
                <c:numCache>
                  <c:formatCode>0.000000</c:formatCode>
                  <c:ptCount val="3"/>
                  <c:pt idx="0">
                    <c:v>0</c:v>
                  </c:pt>
                  <c:pt idx="1">
                    <c:v>0.05367692018001655</c:v>
                  </c:pt>
                  <c:pt idx="2">
                    <c:v>2.6498750003629605</c:v>
                  </c:pt>
                </c:numCache>
              </c:numRef>
            </c:plus>
            <c:minus>
              <c:numRef>
                <c:f>'Σύνοψη'!$J$7:$J$9</c:f>
                <c:numCache>
                  <c:formatCode>0.000000</c:formatCode>
                  <c:ptCount val="3"/>
                  <c:pt idx="0">
                    <c:v>0</c:v>
                  </c:pt>
                  <c:pt idx="1">
                    <c:v>0.05367692018001655</c:v>
                  </c:pt>
                  <c:pt idx="2">
                    <c:v>2.6498750003629605</c:v>
                  </c:pt>
                </c:numCache>
              </c:numRef>
            </c:minus>
          </c:errBars>
          <c:cat>
            <c:strRef>
              <c:f>'Σύνοψη'!$A$7:$A$9</c:f>
              <c:strCache>
                <c:ptCount val="0"/>
              </c:strCache>
            </c:strRef>
          </c:cat>
          <c:val>
            <c:numRef>
              <c:f>'Σύνοψη'!$I$7:$I$9</c:f>
              <c:numCache>
                <c:formatCode>0.000000</c:formatCode>
                <c:ptCount val="3"/>
                <c:pt idx="0">
                  <c:v>0</c:v>
                </c:pt>
                <c:pt idx="1">
                  <c:v>24.20157808</c:v>
                </c:pt>
                <c:pt idx="2">
                  <c:v>29.314104120000003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36.75857598841740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Jitter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Jitter (ms)</c:v>
          </c:tx>
          <c:spPr>
            <a:solidFill xmlns:a="http://schemas.openxmlformats.org/drawingml/2006/main">
              <a:srgbClr val="246B9B"/>
            </a:solidFill>
          </c:spPr>
          <c:invertIfNegative val="0"/>
          <c:errBars>
            <c:errDir val="y"/>
            <c:errBarType val="both"/>
            <c:errValType val="cust"/>
            <c:noEndCap val="0"/>
            <c:plus>
              <c:numRef>
                <c:f>'Σύνοψη'!$L$7:$L$9</c:f>
                <c:numCache>
                  <c:formatCode>0.000000</c:formatCode>
                  <c:ptCount val="3"/>
                  <c:pt idx="0">
                    <c:v>3.889849122138328e-05</c:v>
                  </c:pt>
                  <c:pt idx="1">
                    <c:v>6.711176494624327e-05</c:v>
                  </c:pt>
                  <c:pt idx="2">
                    <c:v>5.107892324432957e-05</c:v>
                  </c:pt>
                </c:numCache>
              </c:numRef>
            </c:plus>
            <c:minus>
              <c:numRef>
                <c:f>'Σύνοψη'!$L$7:$L$9</c:f>
                <c:numCache>
                  <c:formatCode>0.000000</c:formatCode>
                  <c:ptCount val="3"/>
                  <c:pt idx="0">
                    <c:v>3.889849122138328e-05</c:v>
                  </c:pt>
                  <c:pt idx="1">
                    <c:v>6.711176494624327e-05</c:v>
                  </c:pt>
                  <c:pt idx="2">
                    <c:v>5.107892324432957e-05</c:v>
                  </c:pt>
                </c:numCache>
              </c:numRef>
            </c:minus>
          </c:errBars>
          <c:cat>
            <c:strRef>
              <c:f>'Σύνοψη'!$A$7:$A$9</c:f>
              <c:strCache>
                <c:ptCount val="0"/>
              </c:strCache>
            </c:strRef>
          </c:cat>
          <c:val>
            <c:numRef>
              <c:f>'Σύνοψη'!$K$7:$K$9</c:f>
              <c:numCache>
                <c:formatCode>0.000000</c:formatCode>
                <c:ptCount val="3"/>
                <c:pt idx="0">
                  <c:v>0.09902933159999999</c:v>
                </c:pt>
                <c:pt idx="1">
                  <c:v>0.0896907898</c:v>
                </c:pt>
                <c:pt idx="2">
                  <c:v>0.0897833734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0.1139284646049045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Actual offered load (Mbps)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Actual offered load (Mbps)</c:v>
          </c:tx>
          <c:spPr>
            <a:solidFill xmlns:a="http://schemas.openxmlformats.org/drawingml/2006/main">
              <a:srgbClr val="246B9B"/>
            </a:solidFill>
          </c:spPr>
          <c:invertIfNegative val="0"/>
          <c:errBars>
            <c:errDir val="y"/>
            <c:errBarType val="both"/>
            <c:errValType val="cust"/>
            <c:noEndCap val="0"/>
            <c:plus>
              <c:numRef>
                <c:f>'Σύνοψη'!$N$7:$N$9</c:f>
                <c:numCache>
                  <c:formatCode>0.000000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18.213687983061526</c:v>
                  </c:pt>
                </c:numCache>
              </c:numRef>
            </c:plus>
            <c:minus>
              <c:numRef>
                <c:f>'Σύνοψη'!$N$7:$N$9</c:f>
                <c:numCache>
                  <c:formatCode>0.000000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18.213687983061526</c:v>
                  </c:pt>
                </c:numCache>
              </c:numRef>
            </c:minus>
          </c:errBars>
          <c:cat>
            <c:strRef>
              <c:f>'Σύνοψη'!$A$7:$A$9</c:f>
              <c:strCache>
                <c:ptCount val="0"/>
              </c:strCache>
            </c:strRef>
          </c:cat>
          <c:val>
            <c:numRef>
              <c:f>'Σύνοψη'!$M$7:$M$9</c:f>
              <c:numCache>
                <c:formatCode>0.000000</c:formatCode>
                <c:ptCount val="3"/>
                <c:pt idx="0">
                  <c:v>199.99952</c:v>
                </c:pt>
                <c:pt idx="1">
                  <c:v>199.99952</c:v>
                </c:pt>
                <c:pt idx="2">
                  <c:v>203.129248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254.54437638052073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483c0b25884727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23653d2fe7447c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6</xdr:col>
      <xdr:colOff>0</xdr:colOff>
      <xdr:row>53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5726619a564aba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12</xdr:col>
      <xdr:colOff>0</xdr:colOff>
      <xdr:row>53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8790d484834e13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6</xdr:col>
      <xdr:colOff>0</xdr:colOff>
      <xdr:row>70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4f6b1f5d3e45a7"/>
        </a:graphicData>
      </a:graphic>
    </xdr:graphicFrame>
    <xdr:clientData/>
  </xdr:twoCellAnchor>
  <xdr:twoCellAnchor>
    <xdr:from>
      <xdr:col>6</xdr:col>
      <xdr:colOff>0</xdr:colOff>
      <xdr:row>54</xdr:row>
      <xdr:rowOff>0</xdr:rowOff>
    </xdr:from>
    <xdr:to>
      <xdr:col>12</xdr:col>
      <xdr:colOff>0</xdr:colOff>
      <xdr:row>70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4157804ba2475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71B70CEE-1B4E-4FDF-BC56-84B16320FD26}"/>
</xltc:personList>
</file>

<file path=xl/tables/table1.xml><?xml version="1.0" encoding="utf-8"?>
<x:table xmlns:x="http://schemas.openxmlformats.org/spreadsheetml/2006/main" id="1" name="TrafficMeasurements" displayName="TrafficMeasurements" ref="A1:BC16" headerRowCount="1" totalsRowCount="0" totalsRowShown="0">
  <x:tableColumns count="55">
    <x:tableColumn id="1" name="status"/>
    <x:tableColumn id="2" name="experiment_index"/>
    <x:tableColumn id="3" name="experiment_id"/>
    <x:tableColumn id="4" name="n8n_execution_id"/>
    <x:tableColumn id="5" name="data_source"/>
    <x:tableColumn id="6" name="config_path"/>
    <x:tableColumn id="7" name="results_path"/>
    <x:tableColumn id="8" name="experiment_dir"/>
    <x:tableColumn id="9" name="traffic_model"/>
    <x:tableColumn id="10" name="traffic_input_mode"/>
    <x:tableColumn id="11" name="on_time_ms"/>
    <x:tableColumn id="12" name="off_time_ms"/>
    <x:tableColumn id="13" name="on_data_rate_bps"/>
    <x:tableColumn id="14" name="nominal_duty_cycle"/>
    <x:tableColumn id="15" name="nominal_mean_offered_load_bps"/>
    <x:tableColumn id="16" name="offered_load_mbps"/>
    <x:tableColumn id="17" name="actual_offered_load_mbps"/>
    <x:tableColumn id="18" name="traffic_rng_stream_start"/>
    <x:tableColumn id="19" name="packet_interval_requested_us"/>
    <x:tableColumn id="20" name="packet_interval_us"/>
    <x:tableColumn id="21" name="rlc_mode"/>
    <x:tableColumn id="22" name="scheduler_type"/>
    <x:tableColumn id="23" name="harq_enabled"/>
    <x:tableColumn id="24" name="harq_max_retransmissions"/>
    <x:tableColumn id="25" name="harq_processes"/>
    <x:tableColumn id="26" name="gnb_antenna_model"/>
    <x:tableColumn id="27" name="gnb_antenna_max_gain_dbi"/>
    <x:tableColumn id="28" name="gnb_antenna_orientation_deg"/>
    <x:tableColumn id="29" name="gnb_antenna_horizontal_beamwidth_deg"/>
    <x:tableColumn id="30" name="gnb_antenna_vertical_beamwidth_deg"/>
    <x:tableColumn id="31" name="gnb_antenna_effective_gain_toward_ue_db"/>
    <x:tableColumn id="32" name="carrier_frequency_hz"/>
    <x:tableColumn id="33" name="ue_distance_2d_m"/>
    <x:tableColumn id="34" name="ue_distance_3d_m"/>
    <x:tableColumn id="35" name="ue_tx_power_dbm"/>
    <x:tableColumn id="36" name="bandwidth_hz"/>
    <x:tableColumn id="37" name="numerology"/>
    <x:tableColumn id="38" name="tdd_pattern"/>
    <x:tableColumn id="39" name="packet_size_bytes"/>
    <x:tableColumn id="40" name="rlc_buffer_size_bytes"/>
    <x:tableColumn id="41" name="rng_seed"/>
    <x:tableColumn id="42" name="rng_run"/>
    <x:tableColumn id="43" name="throughput_mbps"/>
    <x:tableColumn id="44" name="app_goodput_mbps"/>
    <x:tableColumn id="45" name="end_to_end_delay_ms"/>
    <x:tableColumn id="46" name="jitter_ms"/>
    <x:tableColumn id="47" name="loss_fraction"/>
    <x:tableColumn id="48" name="app_tx_packets"/>
    <x:tableColumn id="49" name="tx_payload_bytes"/>
    <x:tableColumn id="50" name="rx_payload_bytes"/>
    <x:tableColumn id="51" name="tx_packets"/>
    <x:tableColumn id="52" name="rx_packets"/>
    <x:tableColumn id="53" name="ip_rx_bytes"/>
    <x:tableColumn id="54" name="unreceived_packets_after_drain"/>
    <x:tableColumn id="55" name="source_cs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2" dT="2026-10-13T22:24:17.705" personId="{71B70CEE-1B4E-4FDF-BC56-84B16320FD26}" id="{437B76D5-E3B2-4BF8-B8C5-C5F433D58A69}">
    <xltc:text>Κοινός θεωρητικός μέσος στόχος 200 Mbps. CBR: 200 Mbps συνεχώς. On/Off: 400 Mbps στο ON, με ON/OFF 100 ms (σταθερές ή μέσες εκθετικές διάρκειες). Το πραγματικό φορτίο μετριέται από application Tx bytes /10 s και δεν απαιτείται να ισούται με τον στόχο.</xltc:text>
  </xltc:threadedComment>
  <xltc:threadedComment ref="A15" dT="2026-10-13T22:24:17.705" personId="{71B70CEE-1B4E-4FDF-BC56-84B16320FD26}" id="{37766356-0CB2-4EB4-BB1C-C2490554D741}">
    <xltc:text>Στις διαγνωστικές δοκιμές: Constant 12.097 μη παραληφθέντα και 12.097 buffer-full logs· Exponential 22.287 και 22.287 αντίστοιχα. HOL logs: 0 και στα δύο. Τα counters τεκμηριώνουν υπερχείλιση RLC UM για αυτές τις δοκιμές. Στο Constant, drain 10 s αντί 2 s δεν άλλαξε το goodput.</xltc:text>
  </xltc:threadedComment>
  <xltc:threadedComment ref="A18" dT="2026-10-13T22:24:17.706" personId="{71B70CEE-1B4E-4FDF-BC56-84B16320FD26}" id="{4F956AA1-E5CF-4C34-A6FF-903D4586865C}">
    <xltc:text>Η κύρια μελέτη είναι στα 100 m και οριζόντιο beamwidth 120°. Τα διαγνωστικά ήταν στα 50 m και 360°. Δεν έγινε αντίστοιχη καταγραφή drops στα 100 m. Δεν αποδίδουμε όλες τις απώλειες των 15 runs σε επιβεβαιωμένη υπερχείλιση ούτε απομονώνουμε την τυχαιότητα από τη μεταβολή πραγματικού φορτίου.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1181a2256144419" /><Relationship Type="http://schemas.openxmlformats.org/officeDocument/2006/relationships/vmlDrawing" Target="/xl/drawings/vmldrawing.vml" Id="R650e42f3e0f44ff4" /><Relationship Type="http://schemas.microsoft.com/office/2017/10/relationships/threadedComment" Target="/xl/threadedcomments/threadedcomment.xml" Id="Ra4c7346ea1d54efd" /><Relationship Type="http://schemas.openxmlformats.org/officeDocument/2006/relationships/drawing" Target="/xl/drawings/drawing1.xml" Id="R8c06173baf6b4b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9a0b4abbdd47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4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 ht="24" customHeight="1">
      <x:c r="A2" s="9" t="str">
        <x:v>Traffic model — CBR / On-Off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 ht="24" customHeight="1">
      <x:c r="A4" s="8" t="str">
        <x:v>15 επιτυχείς προσομοιώσεις. Seed 42, runs 1–5. Μέσος όρος και δειγματική τυπική απόκλιση (SD).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</x:row>
    <x:row r="5" ht="24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</x:row>
    <x:row r="6" ht="60" customHeight="1">
      <x:c r="A6" s="11" t="str">
        <x:v>Traffic model</x:v>
      </x:c>
      <x:c r="B6" s="11" t="str">
        <x:v>n</x:v>
      </x:c>
      <x:c r="C6" s="11" t="str">
        <x:v>IP throughput (Mbps)</x:v>
      </x:c>
      <x:c r="D6" s="11" t="str">
        <x:v>SD (Mbps)</x:v>
      </x:c>
      <x:c r="E6" s="11" t="str">
        <x:v>Goodput (Mbps)</x:v>
      </x:c>
      <x:c r="F6" s="11" t="str">
        <x:v>SD (Mbps)</x:v>
      </x:c>
      <x:c r="G6" s="11" t="str">
        <x:v>Delay (ms)</x:v>
      </x:c>
      <x:c r="H6" s="11" t="str">
        <x:v>SD (ms)</x:v>
      </x:c>
      <x:c r="I6" s="11" t="str">
        <x:v>Loss after drain (%)</x:v>
      </x:c>
      <x:c r="J6" s="11" t="str">
        <x:v>SD (ποσ. μον.)</x:v>
      </x:c>
      <x:c r="K6" s="11" t="str">
        <x:v>Jitter (ms)</x:v>
      </x:c>
      <x:c r="L6" s="11" t="str">
        <x:v>SD (ms)</x:v>
      </x:c>
      <x:c r="M6" s="11" t="str">
        <x:v>Actual offered load (Mbps)</x:v>
      </x:c>
      <x:c r="N6" s="11" t="str">
        <x:v>SD (Mbps)</x:v>
      </x:c>
    </x:row>
    <x:row r="7" ht="34" customHeight="1">
      <x:c r="A7" s="14" t="str">
        <x:v>CBR</x:v>
      </x:c>
      <x:c r="B7" s="8" t="n">
        <x:f>COUNT('Μετρήσεις'!AP2:AP6)</x:f>
        <x:v>5</x:v>
      </x:c>
      <x:c r="C7" s="12" t="n">
        <x:f>AVERAGE('Μετρήσεις'!AQ2:AQ6)*1</x:f>
        <x:v>203.9995104</x:v>
      </x:c>
      <x:c r="D7" s="12" t="n">
        <x:f>STDEV('Μετρήσεις'!AQ2:AQ6)*1</x:f>
        <x:v>0</x:v>
      </x:c>
      <x:c r="E7" s="12" t="n">
        <x:f>AVERAGE('Μετρήσεις'!AR2:AR6)*1</x:f>
        <x:v>199.99952</x:v>
      </x:c>
      <x:c r="F7" s="12" t="n">
        <x:f>STDEV('Μετρήσεις'!AR2:AR6)*1</x:f>
        <x:v>0</x:v>
      </x:c>
      <x:c r="G7" s="12" t="n">
        <x:f>AVERAGE('Μετρήσεις'!AS2:AS6)*1</x:f>
        <x:v>3.6436957675999997</x:v>
      </x:c>
      <x:c r="H7" s="12" t="n">
        <x:f>STDEV('Μετρήσεις'!AS2:AS6)*1</x:f>
        <x:v>0.004267710106953936</x:v>
      </x:c>
      <x:c r="I7" s="12" t="n">
        <x:f>AVERAGE('Μετρήσεις'!AU2:AU6)*100</x:f>
        <x:v>0</x:v>
      </x:c>
      <x:c r="J7" s="12" t="n">
        <x:f>STDEV('Μετρήσεις'!AU2:AU6)*100</x:f>
        <x:v>0</x:v>
      </x:c>
      <x:c r="K7" s="12" t="n">
        <x:f>AVERAGE('Μετρήσεις'!AT2:AT6)*1</x:f>
        <x:v>0.09902933159999999</x:v>
      </x:c>
      <x:c r="L7" s="12" t="n">
        <x:f>STDEV('Μετρήσεις'!AT2:AT6)*1</x:f>
        <x:v>0.00003889849122138328</x:v>
      </x:c>
      <x:c r="M7" s="12" t="n">
        <x:f>AVERAGE('Μετρήσεις'!Q2:Q6)*1</x:f>
        <x:v>199.99952</x:v>
      </x:c>
      <x:c r="N7" s="12" t="n">
        <x:f>STDEV('Μετρήσεις'!Q2:Q6)*1</x:f>
        <x:v>0</x:v>
      </x:c>
    </x:row>
    <x:row r="8" ht="34" customHeight="1">
      <x:c r="A8" s="14" t="str">
        <x:v>OnOffConstant</x:v>
      </x:c>
      <x:c r="B8" s="8" t="n">
        <x:f>COUNT('Μετρήσεις'!AP7:AP11)</x:f>
        <x:v>5</x:v>
      </x:c>
      <x:c r="C8" s="12" t="n">
        <x:f>AVERAGE('Μετρήσεις'!AQ7:AQ11)*1</x:f>
        <x:v>154.6284096</x:v>
      </x:c>
      <x:c r="D8" s="12" t="n">
        <x:f>STDEV('Μετρήσεις'!AQ7:AQ11)*1</x:f>
        <x:v>0.10950069369642824</x:v>
      </x:c>
      <x:c r="E8" s="12" t="n">
        <x:f>AVERAGE('Μετρήσεις'!AR7:AR11)*1</x:f>
        <x:v>151.59647999999999</x:v>
      </x:c>
      <x:c r="F8" s="12" t="n">
        <x:f>STDEV('Μετρήσεις'!AR7:AR11)*1</x:f>
        <x:v>0.10735362127101145</x:v>
      </x:c>
      <x:c r="G8" s="12" t="n">
        <x:f>AVERAGE('Μετρήσεις'!AS7:AS11)*1</x:f>
        <x:v>28.671012509999997</x:v>
      </x:c>
      <x:c r="H8" s="12" t="n">
        <x:f>STDEV('Μετρήσεις'!AS7:AS11)*1</x:f>
        <x:v>0.022093010138958556</x:v>
      </x:c>
      <x:c r="I8" s="12" t="n">
        <x:f>AVERAGE('Μετρήσεις'!AU7:AU11)*100</x:f>
        <x:v>24.20157808</x:v>
      </x:c>
      <x:c r="J8" s="12" t="n">
        <x:f>STDEV('Μετρήσεις'!AU7:AU11)*100</x:f>
        <x:v>0.05367692018001667</x:v>
      </x:c>
      <x:c r="K8" s="12" t="n">
        <x:f>AVERAGE('Μετρήσεις'!AT7:AT11)*1</x:f>
        <x:v>0.0896907898</x:v>
      </x:c>
      <x:c r="L8" s="12" t="n">
        <x:f>STDEV('Μετρήσεις'!AT7:AT11)*1</x:f>
        <x:v>0.00006711176494624327</x:v>
      </x:c>
      <x:c r="M8" s="12" t="n">
        <x:f>AVERAGE('Μετρήσεις'!Q7:Q11)*1</x:f>
        <x:v>199.99952</x:v>
      </x:c>
      <x:c r="N8" s="12" t="n">
        <x:f>STDEV('Μετρήσεις'!Q7:Q11)*1</x:f>
        <x:v>0</x:v>
      </x:c>
    </x:row>
    <x:row r="9" ht="34" customHeight="1">
      <x:c r="A9" s="14" t="str">
        <x:v>OnOffExponential</x:v>
      </x:c>
      <x:c r="B9" s="8" t="n">
        <x:f>COUNT('Μετρήσεις'!AP12:AP16)</x:f>
        <x:v>5</x:v>
      </x:c>
      <x:c r="C9" s="12" t="n">
        <x:f>AVERAGE('Μετρήσεις'!AQ12:AQ16)*1</x:f>
        <x:v>146.18447424000001</x:v>
      </x:c>
      <x:c r="D9" s="12" t="n">
        <x:f>STDEV('Μετρήσεις'!AQ12:AQ16)*1</x:f>
        <x:v>10.287886437994045</x:v>
      </x:c>
      <x:c r="E9" s="12" t="n">
        <x:f>AVERAGE('Μετρήσεις'!AR12:AR16)*1</x:f>
        <x:v>143.31811199999999</x:v>
      </x:c>
      <x:c r="F9" s="12" t="n">
        <x:f>STDEV('Μετρήσεις'!AR12:AR16)*1</x:f>
        <x:v>10.086163174503962</x:v>
      </x:c>
      <x:c r="G9" s="12" t="n">
        <x:f>AVERAGE('Μετρήσεις'!AS12:AS16)*1</x:f>
        <x:v>30.564736192000005</x:v>
      </x:c>
      <x:c r="H9" s="12" t="n">
        <x:f>STDEV('Μετρήσεις'!AS12:AS16)*1</x:f>
        <x:v>1.3732747223175255</x:v>
      </x:c>
      <x:c r="I9" s="12" t="n">
        <x:f>AVERAGE('Μετρήσεις'!AU12:AU16)*100</x:f>
        <x:v>29.31410412</x:v>
      </x:c>
      <x:c r="J9" s="12" t="n">
        <x:f>STDEV('Μετρήσεις'!AU12:AU16)*100</x:f>
        <x:v>2.649875000362961</x:v>
      </x:c>
      <x:c r="K9" s="12" t="n">
        <x:f>AVERAGE('Μετρήσεις'!AT12:AT16)*1</x:f>
        <x:v>0.0897833734</x:v>
      </x:c>
      <x:c r="L9" s="12" t="n">
        <x:f>STDEV('Μετρήσεις'!AT12:AT16)*1</x:f>
        <x:v>0.00005107892324432957</x:v>
      </x:c>
      <x:c r="M9" s="12" t="n">
        <x:f>AVERAGE('Μετρήσεις'!Q12:Q16)*1</x:f>
        <x:v>203.129248</x:v>
      </x:c>
      <x:c r="N9" s="12" t="n">
        <x:f>STDEV('Μετρήσεις'!Q12:Q16)*1</x:f>
        <x:v>18.213687983061526</x:v>
      </x:c>
    </x:row>
    <x:row r="10" ht="24" customHeight="1">
      <x:c r="A10" s="8" t="str">
        <x:v>Γραφήματα: μέσος όρος ±1 SD, όχι διάστημα εμπιστοσύνης. Μηδενική SD: η μπάρα δεν διακρίνεται.</x:v>
      </x:c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</x:row>
    <x:row r="11" ht="24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</x:row>
    <x:row r="12" ht="24" customHeight="1">
      <x:c r="A12" s="13" t="str">
        <x:v>Πραγματικό φορτίο</x:v>
      </x:c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</x:row>
    <x:row r="13" ht="24" customHeight="1">
      <x:c r="A13" s="8" t="str">
        <x:v>Στόχος 200 Mbps για όλα τα μοντέλα. Το πραγματικό φορτίο του εκθετικού On/Off μεταβάλλεται ανά run.</x:v>
      </x:c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</x:row>
    <x:row r="14" ht="24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</x:row>
    <x:row r="15" ht="24" customHeight="1">
      <x:c r="A15" s="13" t="str">
        <x:v>Διάγνωση στα 50 m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</x:row>
    <x:row r="16" ht="24" customHeight="1">
      <x:c r="A16" s="8" t="str">
        <x:v>Στα 50 m: buffer-full logs = μη παραληφθέντα, 12.097 (Constant) και 22.287 (Exponential). HOL logs = 0.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</x:row>
    <x:row r="17" ht="24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</x:row>
    <x:row r="18" ht="24" customHeight="1">
      <x:c r="A18" s="13" t="str">
        <x:v>Όριο συμπεράσματος</x:v>
      </x:c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</x:row>
    <x:row r="19" ht="24" customHeight="1">
      <x:c r="A19" s="8" t="str">
        <x:v>Η διάγνωση στα 50 m δεν αποτελεί επιβεβαίωση της αιτίας για όλα τα runs της κύριας μελέτης στα 100 m.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</x:row>
    <x:row r="20" ht="24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</x:row>
    <x:row r="21" ht="24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</x:row>
    <x:row r="22" ht="24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</x:row>
    <x:row r="23" ht="24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</x:row>
    <x:row r="24" ht="24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</x:row>
    <x:row r="25" ht="24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</x:row>
    <x:row r="26" ht="24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</x:row>
    <x:row r="27" ht="24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</x:row>
    <x:row r="28" ht="24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</x:row>
    <x:row r="29" ht="24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</x:row>
    <x:row r="30" ht="24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</x:row>
    <x:row r="31" ht="24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</x:row>
    <x:row r="32" ht="24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</x:row>
    <x:row r="33" ht="24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</x:row>
    <x:row r="34" ht="24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</x:row>
    <x:row r="35" ht="24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</x:row>
    <x:row r="36" ht="24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</x:row>
    <x:row r="37" ht="24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</x:row>
    <x:row r="38" ht="24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</x:row>
    <x:row r="39" ht="24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</x:row>
    <x:row r="40" ht="24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</x:row>
    <x:row r="41" ht="24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</x:row>
    <x:row r="42" ht="24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</x:row>
    <x:row r="43" ht="24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</x:row>
    <x:row r="44" ht="24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</x:row>
    <x:row r="45" ht="24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</x:row>
    <x:row r="46" ht="24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</x:row>
    <x:row r="47" ht="24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</x:row>
    <x:row r="48" ht="24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</x:row>
    <x:row r="49" ht="24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</x:row>
    <x:row r="50" ht="24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</x:row>
    <x:row r="51" ht="24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</x:row>
    <x:row r="52" ht="24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</x:row>
    <x:row r="53" ht="24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</x:row>
    <x:row r="54" ht="24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</x:row>
    <x:row r="55" ht="24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</x:row>
    <x:row r="56" ht="24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</x:row>
    <x:row r="57" ht="24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</x:row>
    <x:row r="58" ht="24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</x:row>
    <x:row r="59" ht="24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</x:row>
    <x:row r="60" ht="24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</x:row>
    <x:row r="61" ht="24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</x:row>
    <x:row r="62" ht="24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</x:row>
    <x:row r="63" ht="24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</x:row>
    <x:row r="64" ht="24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</x:row>
    <x:row r="65" ht="24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</x:row>
    <x:row r="66" ht="24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</x:row>
    <x:row r="67" ht="24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</x:row>
    <x:row r="68" ht="24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</x:row>
    <x:row r="69" ht="24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</x:row>
    <x:row r="70" ht="24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</x:row>
    <x:row r="71" ht="24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</x:row>
    <x:row r="72" ht="24" customHeight="1">
      <x:c r="A72" s="8" t="str">
        <x:v>Σταθερά: 1 UE, 1 gNB, UDP uplink, Friis, χωρίς fading/shadowing ή beamforming.</x:v>
      </x:c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</x:row>
    <x:row r="73" ht="24" customHeight="1">
      <x:c r="A73" s="8" t="str">
        <x:v>3.5 GHz, bandwidth 100 MHz, απόσταση 100 m, UE Tx 10 dBm, payload 1400 bytes.</x:v>
      </x:c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</x:row>
    <x:row r="74" ht="24" customHeight="1">
      <x:c r="A74" s="8" t="str">
        <x:v>TdmaRR, RLC UM με buffer 1048576 bytes, HARQ ON / έως 3 retransmissions / 16 processes.</x:v>
      </x:c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</x:row>
    <x:row r="75" ht="24" customHeight="1">
      <x:c r="A75" s="8" t="str">
        <x:v>Numerology 2, TDD DL|UL|UL|UL|. Cosine 0 dBi, orientation 0°, horizontal 120°, vertical 360°.</x:v>
      </x:c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</x:row>
    <x:row r="76" ht="24" customHeight="1">
      <x:c r="A76" s="8" t="str">
        <x:v>Application 1–11 s, drain 2 s. Throughput/goodput: παραληφθέντα bytes ×8 /10 s, με παραλαβές και στο drain.</x:v>
      </x:c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</x:row>
    <x:row r="77" ht="24" customHeight="1">
      <x:c r="A77" s="8" t="str">
        <x:v>IP throughput περιλαμβάνει headers· goodput μόνο payload. Delay/jitter αφορούν παραληφθέντα πακέτα.</x:v>
      </x:c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</x:row>
    <x:row r="78" ht="24" customHeight="1">
      <x:c r="A78" s="8" t="str">
        <x:v>Loss after drain: μη παραληφθέντα / απεσταλμένα. Χωρίς traces δεν διακρίνονται πάντα απορρίψεις και εκκρεμή πακέτα.</x:v>
      </x:c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</x:row>
    <x:row r="79" ht="24" customHeight="1">
      <x:c r="A79" s="8" t="str">
        <x:v>Στο On/Off η εφαρμογή ξεκινά με OFF και διατηρεί residual bits μεταξύ ON περιόδων. Δεν είναι Poisson source.</x:v>
      </x:c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</x:row>
    <x:row r="80" ht="24" customHeight="1">
      <x:c r="A80" s="8" t="str">
        <x:v>Το εκθετικό On/Off έχει ανεξάρτητες, μη αποκομμένες εκθετικές διάρκειες με μέσους ON/OFF 100 ms.</x:v>
      </x:c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</x:row>
    <x:row r="81" ht="24" customHeight="1">
      <x:c r="A81" s="8" t="str">
        <x:v>Το διαφορετικό πραγματικό φορτίο επηρεάζει τη σύγκριση goodput/loss. Πέντε runs περιγράφουν τη μετρημένη διακύμανση.</x:v>
      </x:c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</x:row>
    <x:row r="82" ht="24" customHeight="1">
      <x:c r="A82" s="8" t="str">
        <x:v>Η SD είναι δειγματική τυπική απόκλιση, όχι confidence interval. Οι 15 μετρήσεις διατηρούνται στο φύλλο Μετρήσεις.</x:v>
      </x:c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</x:row>
    <x:row r="83" ht="24" customHeight="1">
      <x:c r="A83" s="8" t="str">
        <x:v>Διάγνωση 50 m: CBR reference ~200 Mbps. Constant: actual 199.99952, goodput 186.45088 Mbps, loss 6.774336%.</x:v>
      </x:c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</x:row>
    <x:row r="84" ht="24" customHeight="1">
      <x:c r="A84" s="8" t="str">
        <x:v>Διάγνωση 50 m: Exponential: actual 207.08464, goodput 182.1232 Mbps, loss 12.053738%.</x:v>
      </x:c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</x:row>
    <x:row r="85" ht="24" customHeight="1">
      <x:c r="A85" s="8" t="str">
        <x:v>Constant στα 50 m: drain 10 s αντί 2 s δεν πρόσθεσε payload. Για Exponential δεν έγινε αντίστοιχη δοκιμή drain.</x:v>
      </x:c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</x:row>
    <x:row r="86" ht="24" customHeight="1">
      <x:c r="A86" s="8" t="str">
        <x:v>Το TxDrop στο HOL branch ενεργοποιείται χωρίς να απορρίπτεται το πακέτο· γι’ αυτό μετρήθηκαν ξεχωριστά buffer-full logs.</x:v>
      </x:c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</x:row>
    <x:row r="87" ht="24" customHeight="1">
      <x:c r="A87" s="8" t="str">
        <x:v>Τα σχόλια διάγνωσης βασίζονται στις εξόδους terminal που έστειλε ο χρήστης, όχι σε traces των executions 217–221.</x:v>
      </x:c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</x:row>
    <x:row r="88" ht="24" customHeight="1">
      <x:c r="A88" s="8" t="str">
        <x:v>Πηγές: executions 217–221, batch_dataset.csv, batch_summary.json, batch_failures.json. source_csv ανά γραμμή.</x:v>
      </x:c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</x:row>
    <x:row r="89" ht="24" customHeight="1">
      <x:c r="A89" s="8" t="str">
        <x:v>Διαγνωστικές πηγές: traffic-onoff-constant-debug.log / -debug-results.json και traffic-onoff-exponential-debug.log / -debug-results.json.</x:v>
      </x:c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</x:row>
    <x:row r="90" ht="24" customHeight="1">
      <x:c r="A90" s="8" t="str">
        <x:v>Υλοποίηση: contrib/nr/model/nr-rlc-um.cc, DoTransmitPdcpPdu: ξεχωριστοί κλάδοι γεμάτου buffer και HOL threshold.</x:v>
      </x:c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</x:row>
    <x:row r="91" ht="24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</x:row>
    <x:row r="92" ht="24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</x:row>
    <x:row r="93" ht="24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</x:row>
    <x:row r="94" ht="24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</x:row>
  </x:sheetData>
  <x:pageMargins left="0.7" right="0.7" top="0.75" bottom="0.75" header="0.3" footer="0.3"/>
  <x:drawing xmlns:r="http://schemas.openxmlformats.org/officeDocument/2006/relationships" r:id="R8c06173baf6b4bd1"/>
  <x:legacyDrawing xmlns:r="http://schemas.openxmlformats.org/officeDocument/2006/relationships" r:id="R650e42f3e0f44ff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5" hidden="0" customWidth="1"/>
    <x:col min="4" max="4" width="22" hidden="0" customWidth="1"/>
    <x:col min="5" max="5" width="22" hidden="0" customWidth="1"/>
    <x:col min="6" max="6" width="65" hidden="0" customWidth="1"/>
    <x:col min="7" max="7" width="65" hidden="0" customWidth="1"/>
    <x:col min="8" max="8" width="65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65" hidden="0" customWidth="1"/>
  </x:cols>
  <x:sheetData>
    <x:row r="1" ht="76" customHeight="1">
      <x:c r="A1" s="6" t="str">
        <x:v>status</x:v>
      </x:c>
      <x:c r="B1" s="6" t="str">
        <x:v>experiment_index</x:v>
      </x:c>
      <x:c r="C1" s="6" t="str">
        <x:v>experiment_id</x:v>
      </x:c>
      <x:c r="D1" s="6" t="str">
        <x:v>n8n_execution_id</x:v>
      </x:c>
      <x:c r="E1" s="6" t="str">
        <x:v>data_source</x:v>
      </x:c>
      <x:c r="F1" s="6" t="str">
        <x:v>config_path</x:v>
      </x:c>
      <x:c r="G1" s="6" t="str">
        <x:v>results_path</x:v>
      </x:c>
      <x:c r="H1" s="6" t="str">
        <x:v>experiment_dir</x:v>
      </x:c>
      <x:c r="I1" s="6" t="str">
        <x:v>traffic_model</x:v>
      </x:c>
      <x:c r="J1" s="6" t="str">
        <x:v>traffic_input_mode</x:v>
      </x:c>
      <x:c r="K1" s="6" t="str">
        <x:v>on_time_ms</x:v>
      </x:c>
      <x:c r="L1" s="6" t="str">
        <x:v>off_time_ms</x:v>
      </x:c>
      <x:c r="M1" s="6" t="str">
        <x:v>on_data_rate_bps</x:v>
      </x:c>
      <x:c r="N1" s="6" t="str">
        <x:v>nominal_duty_cycle</x:v>
      </x:c>
      <x:c r="O1" s="6" t="str">
        <x:v>nominal_mean_offered_load_bps</x:v>
      </x:c>
      <x:c r="P1" s="6" t="str">
        <x:v>offered_load_mbps</x:v>
      </x:c>
      <x:c r="Q1" s="6" t="str">
        <x:v>actual_offered_load_mbps</x:v>
      </x:c>
      <x:c r="R1" s="6" t="str">
        <x:v>traffic_rng_stream_start</x:v>
      </x:c>
      <x:c r="S1" s="6" t="str">
        <x:v>packet_interval_requested_us</x:v>
      </x:c>
      <x:c r="T1" s="6" t="str">
        <x:v>packet_interval_us</x:v>
      </x:c>
      <x:c r="U1" s="6" t="str">
        <x:v>rlc_mode</x:v>
      </x:c>
      <x:c r="V1" s="6" t="str">
        <x:v>scheduler_type</x:v>
      </x:c>
      <x:c r="W1" s="6" t="str">
        <x:v>harq_enabled</x:v>
      </x:c>
      <x:c r="X1" s="6" t="str">
        <x:v>harq_max_retransmissions</x:v>
      </x:c>
      <x:c r="Y1" s="6" t="str">
        <x:v>harq_processes</x:v>
      </x:c>
      <x:c r="Z1" s="6" t="str">
        <x:v>gnb_antenna_model</x:v>
      </x:c>
      <x:c r="AA1" s="6" t="str">
        <x:v>gnb_antenna_max_gain_dbi</x:v>
      </x:c>
      <x:c r="AB1" s="6" t="str">
        <x:v>gnb_antenna_orientation_deg</x:v>
      </x:c>
      <x:c r="AC1" s="6" t="str">
        <x:v>gnb_antenna_horizontal_beamwidth_deg</x:v>
      </x:c>
      <x:c r="AD1" s="6" t="str">
        <x:v>gnb_antenna_vertical_beamwidth_deg</x:v>
      </x:c>
      <x:c r="AE1" s="6" t="str">
        <x:v>gnb_antenna_effective_gain_toward_ue_db</x:v>
      </x:c>
      <x:c r="AF1" s="6" t="str">
        <x:v>carrier_frequency_hz</x:v>
      </x:c>
      <x:c r="AG1" s="6" t="str">
        <x:v>ue_distance_2d_m</x:v>
      </x:c>
      <x:c r="AH1" s="6" t="str">
        <x:v>ue_distance_3d_m</x:v>
      </x:c>
      <x:c r="AI1" s="6" t="str">
        <x:v>ue_tx_power_dbm</x:v>
      </x:c>
      <x:c r="AJ1" s="6" t="str">
        <x:v>bandwidth_hz</x:v>
      </x:c>
      <x:c r="AK1" s="6" t="str">
        <x:v>numerology</x:v>
      </x:c>
      <x:c r="AL1" s="6" t="str">
        <x:v>tdd_pattern</x:v>
      </x:c>
      <x:c r="AM1" s="6" t="str">
        <x:v>packet_size_bytes</x:v>
      </x:c>
      <x:c r="AN1" s="6" t="str">
        <x:v>rlc_buffer_size_bytes</x:v>
      </x:c>
      <x:c r="AO1" s="6" t="str">
        <x:v>rng_seed</x:v>
      </x:c>
      <x:c r="AP1" s="6" t="str">
        <x:v>rng_run</x:v>
      </x:c>
      <x:c r="AQ1" s="6" t="str">
        <x:v>throughput_mbps</x:v>
      </x:c>
      <x:c r="AR1" s="6" t="str">
        <x:v>app_goodput_mbps</x:v>
      </x:c>
      <x:c r="AS1" s="6" t="str">
        <x:v>end_to_end_delay_ms</x:v>
      </x:c>
      <x:c r="AT1" s="6" t="str">
        <x:v>jitter_ms</x:v>
      </x:c>
      <x:c r="AU1" s="6" t="str">
        <x:v>loss_fraction</x:v>
      </x:c>
      <x:c r="AV1" s="6" t="str">
        <x:v>app_tx_packets</x:v>
      </x:c>
      <x:c r="AW1" s="6" t="str">
        <x:v>tx_payload_bytes</x:v>
      </x:c>
      <x:c r="AX1" s="6" t="str">
        <x:v>rx_payload_bytes</x:v>
      </x:c>
      <x:c r="AY1" s="6" t="str">
        <x:v>tx_packets</x:v>
      </x:c>
      <x:c r="AZ1" s="6" t="str">
        <x:v>rx_packets</x:v>
      </x:c>
      <x:c r="BA1" s="6" t="str">
        <x:v>ip_rx_bytes</x:v>
      </x:c>
      <x:c r="BB1" s="6" t="str">
        <x:v>unreceived_packets_after_drain</x:v>
      </x:c>
      <x:c r="BC1" s="6" t="str">
        <x:v>source_csv</x:v>
      </x:c>
    </x:row>
    <x:row r="2" ht="24" customHeight="1">
      <x:c r="A2" s="2" t="str">
        <x:v>success</x:v>
      </x:c>
      <x:c r="B2" s="2" t="n">
        <x:v>1</x:v>
      </x:c>
      <x:c r="C2" s="2" t="str">
        <x:v>traffic_model_CBR_run_1</x:v>
      </x:c>
      <x:c r="D2" s="2" t="n">
        <x:v>217</x:v>
      </x:c>
      <x:c r="E2" s="2" t="str">
        <x:v>ns3</x:v>
      </x:c>
      <x:c r="F2" s="2" t="str">
        <x:v>experiments/execution_217/experiment_1/config.json</x:v>
      </x:c>
      <x:c r="G2" s="2" t="str">
        <x:v>experiments/execution_217/experiment_1/results.json</x:v>
      </x:c>
      <x:c r="H2" s="2" t="str">
        <x:v>/home/dinos/ns-allinone-3.47/ns-3.47/experiments/execution_217/experiment_1</x:v>
      </x:c>
      <x:c r="I2" s="2" t="str">
        <x:v>CBR</x:v>
      </x:c>
      <x:c r="J2" s="2" t="str">
        <x:v>dataRate</x:v>
      </x:c>
      <x:c r="K2" s="2" t="str"/>
      <x:c r="L2" s="2" t="str"/>
      <x:c r="M2" s="2" t="n">
        <x:v>200000000</x:v>
      </x:c>
      <x:c r="N2" s="2" t="n">
        <x:v>1</x:v>
      </x:c>
      <x:c r="O2" s="2" t="n">
        <x:v>200000000</x:v>
      </x:c>
      <x:c r="P2" s="2" t="n">
        <x:v>200</x:v>
      </x:c>
      <x:c r="Q2" s="7" t="n">
        <x:v>199.99952</x:v>
      </x:c>
      <x:c r="R2" s="2" t="str"/>
      <x:c r="S2" s="2" t="str"/>
      <x:c r="T2" s="2" t="n">
        <x:v>56</x:v>
      </x:c>
      <x:c r="U2" s="2" t="str">
        <x:v>UM</x:v>
      </x:c>
      <x:c r="V2" s="2" t="str">
        <x:v>TdmaRR</x:v>
      </x:c>
      <x:c r="W2" s="3" t="b">
        <x:v>1</x:v>
      </x:c>
      <x:c r="X2" s="2" t="n">
        <x:v>3</x:v>
      </x:c>
      <x:c r="Y2" s="2" t="n">
        <x:v>16</x:v>
      </x:c>
      <x:c r="Z2" s="2" t="str">
        <x:v>Cosine</x:v>
      </x:c>
      <x:c r="AA2" s="2" t="n">
        <x:v>0</x:v>
      </x:c>
      <x:c r="AB2" s="2" t="n">
        <x:v>0</x:v>
      </x:c>
      <x:c r="AC2" s="2" t="n">
        <x:v>120</x:v>
      </x:c>
      <x:c r="AD2" s="2" t="n">
        <x:v>360</x:v>
      </x:c>
      <x:c r="AE2" s="2" t="n">
        <x:v>0</x:v>
      </x:c>
      <x:c r="AF2" s="2" t="n">
        <x:v>3500000000</x:v>
      </x:c>
      <x:c r="AG2" s="2" t="n">
        <x:v>100</x:v>
      </x:c>
      <x:c r="AH2" s="2" t="n">
        <x:v>100.3605998</x:v>
      </x:c>
      <x:c r="AI2" s="2" t="n">
        <x:v>10</x:v>
      </x:c>
      <x:c r="AJ2" s="2" t="n">
        <x:v>100000000</x:v>
      </x:c>
      <x:c r="AK2" s="2" t="n">
        <x:v>2</x:v>
      </x:c>
      <x:c r="AL2" s="2" t="str">
        <x:v>DL|UL|UL|UL|</x:v>
      </x:c>
      <x:c r="AM2" s="2" t="n">
        <x:v>1400</x:v>
      </x:c>
      <x:c r="AN2" s="2" t="n">
        <x:v>1048576</x:v>
      </x:c>
      <x:c r="AO2" s="2" t="n">
        <x:v>42</x:v>
      </x:c>
      <x:c r="AP2" s="2" t="n">
        <x:v>1</x:v>
      </x:c>
      <x:c r="AQ2" s="7" t="n">
        <x:v>203.9995104</x:v>
      </x:c>
      <x:c r="AR2" s="7" t="n">
        <x:v>199.99952</x:v>
      </x:c>
      <x:c r="AS2" s="7" t="n">
        <x:v>3.648763401</x:v>
      </x:c>
      <x:c r="AT2" s="7" t="n">
        <x:v>0.099052705</x:v>
      </x:c>
      <x:c r="AU2" s="7" t="n">
        <x:v>0</x:v>
      </x:c>
      <x:c r="AV2" s="2" t="n">
        <x:v>178571</x:v>
      </x:c>
      <x:c r="AW2" s="2" t="n">
        <x:v>249999400</x:v>
      </x:c>
      <x:c r="AX2" s="2" t="n">
        <x:v>249999400</x:v>
      </x:c>
      <x:c r="AY2" s="2" t="n">
        <x:v>178571</x:v>
      </x:c>
      <x:c r="AZ2" s="2" t="n">
        <x:v>178571</x:v>
      </x:c>
      <x:c r="BA2" s="2" t="n">
        <x:v>254999388</x:v>
      </x:c>
      <x:c r="BB2" s="2" t="n">
        <x:v>0</x:v>
      </x:c>
      <x:c r="BC2" s="2" t="str">
        <x:v>experiments/execution_217/batch_dataset.csv</x:v>
      </x:c>
    </x:row>
    <x:row r="3" ht="24" customHeight="1">
      <x:c r="A3" s="2" t="str">
        <x:v>success</x:v>
      </x:c>
      <x:c r="B3" s="2" t="n">
        <x:v>1</x:v>
      </x:c>
      <x:c r="C3" s="2" t="str">
        <x:v>traffic_model_CBR_run_2</x:v>
      </x:c>
      <x:c r="D3" s="2" t="n">
        <x:v>218</x:v>
      </x:c>
      <x:c r="E3" s="2" t="str">
        <x:v>ns3</x:v>
      </x:c>
      <x:c r="F3" s="2" t="str">
        <x:v>experiments/execution_218/experiment_1/config.json</x:v>
      </x:c>
      <x:c r="G3" s="2" t="str">
        <x:v>experiments/execution_218/experiment_1/results.json</x:v>
      </x:c>
      <x:c r="H3" s="2" t="str">
        <x:v>/home/dinos/ns-allinone-3.47/ns-3.47/experiments/execution_218/experiment_1</x:v>
      </x:c>
      <x:c r="I3" s="2" t="str">
        <x:v>CBR</x:v>
      </x:c>
      <x:c r="J3" s="2" t="str">
        <x:v>dataRate</x:v>
      </x:c>
      <x:c r="K3" s="2" t="str"/>
      <x:c r="L3" s="2" t="str"/>
      <x:c r="M3" s="2" t="n">
        <x:v>200000000</x:v>
      </x:c>
      <x:c r="N3" s="2" t="n">
        <x:v>1</x:v>
      </x:c>
      <x:c r="O3" s="2" t="n">
        <x:v>200000000</x:v>
      </x:c>
      <x:c r="P3" s="2" t="n">
        <x:v>200</x:v>
      </x:c>
      <x:c r="Q3" s="7" t="n">
        <x:v>199.99952</x:v>
      </x:c>
      <x:c r="R3" s="2" t="str"/>
      <x:c r="S3" s="2" t="str"/>
      <x:c r="T3" s="2" t="n">
        <x:v>56</x:v>
      </x:c>
      <x:c r="U3" s="2" t="str">
        <x:v>UM</x:v>
      </x:c>
      <x:c r="V3" s="2" t="str">
        <x:v>TdmaRR</x:v>
      </x:c>
      <x:c r="W3" s="3" t="b">
        <x:v>1</x:v>
      </x:c>
      <x:c r="X3" s="2" t="n">
        <x:v>3</x:v>
      </x:c>
      <x:c r="Y3" s="2" t="n">
        <x:v>16</x:v>
      </x:c>
      <x:c r="Z3" s="2" t="str">
        <x:v>Cosine</x:v>
      </x:c>
      <x:c r="AA3" s="2" t="n">
        <x:v>0</x:v>
      </x:c>
      <x:c r="AB3" s="2" t="n">
        <x:v>0</x:v>
      </x:c>
      <x:c r="AC3" s="2" t="n">
        <x:v>120</x:v>
      </x:c>
      <x:c r="AD3" s="2" t="n">
        <x:v>360</x:v>
      </x:c>
      <x:c r="AE3" s="2" t="n">
        <x:v>0</x:v>
      </x:c>
      <x:c r="AF3" s="2" t="n">
        <x:v>3500000000</x:v>
      </x:c>
      <x:c r="AG3" s="2" t="n">
        <x:v>100</x:v>
      </x:c>
      <x:c r="AH3" s="2" t="n">
        <x:v>100.3605998</x:v>
      </x:c>
      <x:c r="AI3" s="2" t="n">
        <x:v>10</x:v>
      </x:c>
      <x:c r="AJ3" s="2" t="n">
        <x:v>100000000</x:v>
      </x:c>
      <x:c r="AK3" s="2" t="n">
        <x:v>2</x:v>
      </x:c>
      <x:c r="AL3" s="2" t="str">
        <x:v>DL|UL|UL|UL|</x:v>
      </x:c>
      <x:c r="AM3" s="2" t="n">
        <x:v>1400</x:v>
      </x:c>
      <x:c r="AN3" s="2" t="n">
        <x:v>1048576</x:v>
      </x:c>
      <x:c r="AO3" s="2" t="n">
        <x:v>42</x:v>
      </x:c>
      <x:c r="AP3" s="2" t="n">
        <x:v>2</x:v>
      </x:c>
      <x:c r="AQ3" s="7" t="n">
        <x:v>203.9995104</x:v>
      </x:c>
      <x:c r="AR3" s="7" t="n">
        <x:v>199.99952</x:v>
      </x:c>
      <x:c r="AS3" s="7" t="n">
        <x:v>3.639715579</x:v>
      </x:c>
      <x:c r="AT3" s="7" t="n">
        <x:v>0.099038979</x:v>
      </x:c>
      <x:c r="AU3" s="7" t="n">
        <x:v>0</x:v>
      </x:c>
      <x:c r="AV3" s="2" t="n">
        <x:v>178571</x:v>
      </x:c>
      <x:c r="AW3" s="2" t="n">
        <x:v>249999400</x:v>
      </x:c>
      <x:c r="AX3" s="2" t="n">
        <x:v>249999400</x:v>
      </x:c>
      <x:c r="AY3" s="2" t="n">
        <x:v>178571</x:v>
      </x:c>
      <x:c r="AZ3" s="2" t="n">
        <x:v>178571</x:v>
      </x:c>
      <x:c r="BA3" s="2" t="n">
        <x:v>254999388</x:v>
      </x:c>
      <x:c r="BB3" s="2" t="n">
        <x:v>0</x:v>
      </x:c>
      <x:c r="BC3" s="2" t="str">
        <x:v>experiments/execution_218/batch_dataset.csv</x:v>
      </x:c>
    </x:row>
    <x:row r="4" ht="24" customHeight="1">
      <x:c r="A4" s="2" t="str">
        <x:v>success</x:v>
      </x:c>
      <x:c r="B4" s="2" t="n">
        <x:v>1</x:v>
      </x:c>
      <x:c r="C4" s="2" t="str">
        <x:v>traffic_model_CBR_run_3</x:v>
      </x:c>
      <x:c r="D4" s="2" t="n">
        <x:v>219</x:v>
      </x:c>
      <x:c r="E4" s="2" t="str">
        <x:v>ns3</x:v>
      </x:c>
      <x:c r="F4" s="2" t="str">
        <x:v>experiments/execution_219/experiment_1/config.json</x:v>
      </x:c>
      <x:c r="G4" s="2" t="str">
        <x:v>experiments/execution_219/experiment_1/results.json</x:v>
      </x:c>
      <x:c r="H4" s="2" t="str">
        <x:v>/home/dinos/ns-allinone-3.47/ns-3.47/experiments/execution_219/experiment_1</x:v>
      </x:c>
      <x:c r="I4" s="2" t="str">
        <x:v>CBR</x:v>
      </x:c>
      <x:c r="J4" s="2" t="str">
        <x:v>dataRate</x:v>
      </x:c>
      <x:c r="K4" s="2" t="str"/>
      <x:c r="L4" s="2" t="str"/>
      <x:c r="M4" s="2" t="n">
        <x:v>200000000</x:v>
      </x:c>
      <x:c r="N4" s="2" t="n">
        <x:v>1</x:v>
      </x:c>
      <x:c r="O4" s="2" t="n">
        <x:v>200000000</x:v>
      </x:c>
      <x:c r="P4" s="2" t="n">
        <x:v>200</x:v>
      </x:c>
      <x:c r="Q4" s="7" t="n">
        <x:v>199.99952</x:v>
      </x:c>
      <x:c r="R4" s="2" t="str"/>
      <x:c r="S4" s="2" t="str"/>
      <x:c r="T4" s="2" t="n">
        <x:v>56</x:v>
      </x:c>
      <x:c r="U4" s="2" t="str">
        <x:v>UM</x:v>
      </x:c>
      <x:c r="V4" s="2" t="str">
        <x:v>TdmaRR</x:v>
      </x:c>
      <x:c r="W4" s="3" t="b">
        <x:v>1</x:v>
      </x:c>
      <x:c r="X4" s="2" t="n">
        <x:v>3</x:v>
      </x:c>
      <x:c r="Y4" s="2" t="n">
        <x:v>16</x:v>
      </x:c>
      <x:c r="Z4" s="2" t="str">
        <x:v>Cosine</x:v>
      </x:c>
      <x:c r="AA4" s="2" t="n">
        <x:v>0</x:v>
      </x:c>
      <x:c r="AB4" s="2" t="n">
        <x:v>0</x:v>
      </x:c>
      <x:c r="AC4" s="2" t="n">
        <x:v>120</x:v>
      </x:c>
      <x:c r="AD4" s="2" t="n">
        <x:v>360</x:v>
      </x:c>
      <x:c r="AE4" s="2" t="n">
        <x:v>0</x:v>
      </x:c>
      <x:c r="AF4" s="2" t="n">
        <x:v>3500000000</x:v>
      </x:c>
      <x:c r="AG4" s="2" t="n">
        <x:v>100</x:v>
      </x:c>
      <x:c r="AH4" s="2" t="n">
        <x:v>100.3605998</x:v>
      </x:c>
      <x:c r="AI4" s="2" t="n">
        <x:v>10</x:v>
      </x:c>
      <x:c r="AJ4" s="2" t="n">
        <x:v>100000000</x:v>
      </x:c>
      <x:c r="AK4" s="2" t="n">
        <x:v>2</x:v>
      </x:c>
      <x:c r="AL4" s="2" t="str">
        <x:v>DL|UL|UL|UL|</x:v>
      </x:c>
      <x:c r="AM4" s="2" t="n">
        <x:v>1400</x:v>
      </x:c>
      <x:c r="AN4" s="2" t="n">
        <x:v>1048576</x:v>
      </x:c>
      <x:c r="AO4" s="2" t="n">
        <x:v>42</x:v>
      </x:c>
      <x:c r="AP4" s="2" t="n">
        <x:v>3</x:v>
      </x:c>
      <x:c r="AQ4" s="7" t="n">
        <x:v>203.9995104</x:v>
      </x:c>
      <x:c r="AR4" s="7" t="n">
        <x:v>199.99952</x:v>
      </x:c>
      <x:c r="AS4" s="7" t="n">
        <x:v>3.640436205</x:v>
      </x:c>
      <x:c r="AT4" s="7" t="n">
        <x:v>0.098972558</x:v>
      </x:c>
      <x:c r="AU4" s="7" t="n">
        <x:v>0</x:v>
      </x:c>
      <x:c r="AV4" s="2" t="n">
        <x:v>178571</x:v>
      </x:c>
      <x:c r="AW4" s="2" t="n">
        <x:v>249999400</x:v>
      </x:c>
      <x:c r="AX4" s="2" t="n">
        <x:v>249999400</x:v>
      </x:c>
      <x:c r="AY4" s="2" t="n">
        <x:v>178571</x:v>
      </x:c>
      <x:c r="AZ4" s="2" t="n">
        <x:v>178571</x:v>
      </x:c>
      <x:c r="BA4" s="2" t="n">
        <x:v>254999388</x:v>
      </x:c>
      <x:c r="BB4" s="2" t="n">
        <x:v>0</x:v>
      </x:c>
      <x:c r="BC4" s="2" t="str">
        <x:v>experiments/execution_219/batch_dataset.csv</x:v>
      </x:c>
    </x:row>
    <x:row r="5" ht="24" customHeight="1">
      <x:c r="A5" s="2" t="str">
        <x:v>success</x:v>
      </x:c>
      <x:c r="B5" s="2" t="n">
        <x:v>1</x:v>
      </x:c>
      <x:c r="C5" s="2" t="str">
        <x:v>traffic_model_CBR_run_4</x:v>
      </x:c>
      <x:c r="D5" s="2" t="n">
        <x:v>220</x:v>
      </x:c>
      <x:c r="E5" s="2" t="str">
        <x:v>ns3</x:v>
      </x:c>
      <x:c r="F5" s="2" t="str">
        <x:v>experiments/execution_220/experiment_1/config.json</x:v>
      </x:c>
      <x:c r="G5" s="2" t="str">
        <x:v>experiments/execution_220/experiment_1/results.json</x:v>
      </x:c>
      <x:c r="H5" s="2" t="str">
        <x:v>/home/dinos/ns-allinone-3.47/ns-3.47/experiments/execution_220/experiment_1</x:v>
      </x:c>
      <x:c r="I5" s="2" t="str">
        <x:v>CBR</x:v>
      </x:c>
      <x:c r="J5" s="2" t="str">
        <x:v>dataRate</x:v>
      </x:c>
      <x:c r="K5" s="2" t="str"/>
      <x:c r="L5" s="2" t="str"/>
      <x:c r="M5" s="2" t="n">
        <x:v>200000000</x:v>
      </x:c>
      <x:c r="N5" s="2" t="n">
        <x:v>1</x:v>
      </x:c>
      <x:c r="O5" s="2" t="n">
        <x:v>200000000</x:v>
      </x:c>
      <x:c r="P5" s="2" t="n">
        <x:v>200</x:v>
      </x:c>
      <x:c r="Q5" s="7" t="n">
        <x:v>199.99952</x:v>
      </x:c>
      <x:c r="R5" s="2" t="str"/>
      <x:c r="S5" s="2" t="str"/>
      <x:c r="T5" s="2" t="n">
        <x:v>56</x:v>
      </x:c>
      <x:c r="U5" s="2" t="str">
        <x:v>UM</x:v>
      </x:c>
      <x:c r="V5" s="2" t="str">
        <x:v>TdmaRR</x:v>
      </x:c>
      <x:c r="W5" s="3" t="b">
        <x:v>1</x:v>
      </x:c>
      <x:c r="X5" s="2" t="n">
        <x:v>3</x:v>
      </x:c>
      <x:c r="Y5" s="2" t="n">
        <x:v>16</x:v>
      </x:c>
      <x:c r="Z5" s="2" t="str">
        <x:v>Cosine</x:v>
      </x:c>
      <x:c r="AA5" s="2" t="n">
        <x:v>0</x:v>
      </x:c>
      <x:c r="AB5" s="2" t="n">
        <x:v>0</x:v>
      </x:c>
      <x:c r="AC5" s="2" t="n">
        <x:v>120</x:v>
      </x:c>
      <x:c r="AD5" s="2" t="n">
        <x:v>360</x:v>
      </x:c>
      <x:c r="AE5" s="2" t="n">
        <x:v>0</x:v>
      </x:c>
      <x:c r="AF5" s="2" t="n">
        <x:v>3500000000</x:v>
      </x:c>
      <x:c r="AG5" s="2" t="n">
        <x:v>100</x:v>
      </x:c>
      <x:c r="AH5" s="2" t="n">
        <x:v>100.3605998</x:v>
      </x:c>
      <x:c r="AI5" s="2" t="n">
        <x:v>10</x:v>
      </x:c>
      <x:c r="AJ5" s="2" t="n">
        <x:v>100000000</x:v>
      </x:c>
      <x:c r="AK5" s="2" t="n">
        <x:v>2</x:v>
      </x:c>
      <x:c r="AL5" s="2" t="str">
        <x:v>DL|UL|UL|UL|</x:v>
      </x:c>
      <x:c r="AM5" s="2" t="n">
        <x:v>1400</x:v>
      </x:c>
      <x:c r="AN5" s="2" t="n">
        <x:v>1048576</x:v>
      </x:c>
      <x:c r="AO5" s="2" t="n">
        <x:v>42</x:v>
      </x:c>
      <x:c r="AP5" s="2" t="n">
        <x:v>4</x:v>
      </x:c>
      <x:c r="AQ5" s="7" t="n">
        <x:v>203.9995104</x:v>
      </x:c>
      <x:c r="AR5" s="7" t="n">
        <x:v>199.99952</x:v>
      </x:c>
      <x:c r="AS5" s="7" t="n">
        <x:v>3.641753065</x:v>
      </x:c>
      <x:c r="AT5" s="7" t="n">
        <x:v>0.099072092</x:v>
      </x:c>
      <x:c r="AU5" s="7" t="n">
        <x:v>0</x:v>
      </x:c>
      <x:c r="AV5" s="2" t="n">
        <x:v>178571</x:v>
      </x:c>
      <x:c r="AW5" s="2" t="n">
        <x:v>249999400</x:v>
      </x:c>
      <x:c r="AX5" s="2" t="n">
        <x:v>249999400</x:v>
      </x:c>
      <x:c r="AY5" s="2" t="n">
        <x:v>178571</x:v>
      </x:c>
      <x:c r="AZ5" s="2" t="n">
        <x:v>178571</x:v>
      </x:c>
      <x:c r="BA5" s="2" t="n">
        <x:v>254999388</x:v>
      </x:c>
      <x:c r="BB5" s="2" t="n">
        <x:v>0</x:v>
      </x:c>
      <x:c r="BC5" s="2" t="str">
        <x:v>experiments/execution_220/batch_dataset.csv</x:v>
      </x:c>
    </x:row>
    <x:row r="6" ht="24" customHeight="1">
      <x:c r="A6" s="2" t="str">
        <x:v>success</x:v>
      </x:c>
      <x:c r="B6" s="2" t="n">
        <x:v>1</x:v>
      </x:c>
      <x:c r="C6" s="2" t="str">
        <x:v>traffic_model_CBR_run_5</x:v>
      </x:c>
      <x:c r="D6" s="2" t="n">
        <x:v>221</x:v>
      </x:c>
      <x:c r="E6" s="2" t="str">
        <x:v>ns3</x:v>
      </x:c>
      <x:c r="F6" s="2" t="str">
        <x:v>experiments/execution_221/experiment_1/config.json</x:v>
      </x:c>
      <x:c r="G6" s="2" t="str">
        <x:v>experiments/execution_221/experiment_1/results.json</x:v>
      </x:c>
      <x:c r="H6" s="2" t="str">
        <x:v>/home/dinos/ns-allinone-3.47/ns-3.47/experiments/execution_221/experiment_1</x:v>
      </x:c>
      <x:c r="I6" s="2" t="str">
        <x:v>CBR</x:v>
      </x:c>
      <x:c r="J6" s="2" t="str">
        <x:v>dataRate</x:v>
      </x:c>
      <x:c r="K6" s="2" t="str"/>
      <x:c r="L6" s="2" t="str"/>
      <x:c r="M6" s="2" t="n">
        <x:v>200000000</x:v>
      </x:c>
      <x:c r="N6" s="2" t="n">
        <x:v>1</x:v>
      </x:c>
      <x:c r="O6" s="2" t="n">
        <x:v>200000000</x:v>
      </x:c>
      <x:c r="P6" s="2" t="n">
        <x:v>200</x:v>
      </x:c>
      <x:c r="Q6" s="7" t="n">
        <x:v>199.99952</x:v>
      </x:c>
      <x:c r="R6" s="2" t="str"/>
      <x:c r="S6" s="2" t="str"/>
      <x:c r="T6" s="2" t="n">
        <x:v>56</x:v>
      </x:c>
      <x:c r="U6" s="2" t="str">
        <x:v>UM</x:v>
      </x:c>
      <x:c r="V6" s="2" t="str">
        <x:v>TdmaRR</x:v>
      </x:c>
      <x:c r="W6" s="3" t="b">
        <x:v>1</x:v>
      </x:c>
      <x:c r="X6" s="2" t="n">
        <x:v>3</x:v>
      </x:c>
      <x:c r="Y6" s="2" t="n">
        <x:v>16</x:v>
      </x:c>
      <x:c r="Z6" s="2" t="str">
        <x:v>Cosine</x:v>
      </x:c>
      <x:c r="AA6" s="2" t="n">
        <x:v>0</x:v>
      </x:c>
      <x:c r="AB6" s="2" t="n">
        <x:v>0</x:v>
      </x:c>
      <x:c r="AC6" s="2" t="n">
        <x:v>120</x:v>
      </x:c>
      <x:c r="AD6" s="2" t="n">
        <x:v>360</x:v>
      </x:c>
      <x:c r="AE6" s="2" t="n">
        <x:v>0</x:v>
      </x:c>
      <x:c r="AF6" s="2" t="n">
        <x:v>3500000000</x:v>
      </x:c>
      <x:c r="AG6" s="2" t="n">
        <x:v>100</x:v>
      </x:c>
      <x:c r="AH6" s="2" t="n">
        <x:v>100.3605998</x:v>
      </x:c>
      <x:c r="AI6" s="2" t="n">
        <x:v>10</x:v>
      </x:c>
      <x:c r="AJ6" s="2" t="n">
        <x:v>100000000</x:v>
      </x:c>
      <x:c r="AK6" s="2" t="n">
        <x:v>2</x:v>
      </x:c>
      <x:c r="AL6" s="2" t="str">
        <x:v>DL|UL|UL|UL|</x:v>
      </x:c>
      <x:c r="AM6" s="2" t="n">
        <x:v>1400</x:v>
      </x:c>
      <x:c r="AN6" s="2" t="n">
        <x:v>1048576</x:v>
      </x:c>
      <x:c r="AO6" s="2" t="n">
        <x:v>42</x:v>
      </x:c>
      <x:c r="AP6" s="2" t="n">
        <x:v>5</x:v>
      </x:c>
      <x:c r="AQ6" s="7" t="n">
        <x:v>203.9995104</x:v>
      </x:c>
      <x:c r="AR6" s="7" t="n">
        <x:v>199.99952</x:v>
      </x:c>
      <x:c r="AS6" s="7" t="n">
        <x:v>3.647810588</x:v>
      </x:c>
      <x:c r="AT6" s="7" t="n">
        <x:v>0.099010324</x:v>
      </x:c>
      <x:c r="AU6" s="7" t="n">
        <x:v>0</x:v>
      </x:c>
      <x:c r="AV6" s="2" t="n">
        <x:v>178571</x:v>
      </x:c>
      <x:c r="AW6" s="2" t="n">
        <x:v>249999400</x:v>
      </x:c>
      <x:c r="AX6" s="2" t="n">
        <x:v>249999400</x:v>
      </x:c>
      <x:c r="AY6" s="2" t="n">
        <x:v>178571</x:v>
      </x:c>
      <x:c r="AZ6" s="2" t="n">
        <x:v>178571</x:v>
      </x:c>
      <x:c r="BA6" s="2" t="n">
        <x:v>254999388</x:v>
      </x:c>
      <x:c r="BB6" s="2" t="n">
        <x:v>0</x:v>
      </x:c>
      <x:c r="BC6" s="2" t="str">
        <x:v>experiments/execution_221/batch_dataset.csv</x:v>
      </x:c>
    </x:row>
    <x:row r="7" ht="24" customHeight="1">
      <x:c r="A7" s="2" t="str">
        <x:v>success</x:v>
      </x:c>
      <x:c r="B7" s="2" t="n">
        <x:v>2</x:v>
      </x:c>
      <x:c r="C7" s="2" t="str">
        <x:v>traffic_model_OnOffConstant_run_1</x:v>
      </x:c>
      <x:c r="D7" s="2" t="n">
        <x:v>217</x:v>
      </x:c>
      <x:c r="E7" s="2" t="str">
        <x:v>ns3</x:v>
      </x:c>
      <x:c r="F7" s="2" t="str">
        <x:v>experiments/execution_217/experiment_2/config.json</x:v>
      </x:c>
      <x:c r="G7" s="2" t="str">
        <x:v>experiments/execution_217/experiment_2/results.json</x:v>
      </x:c>
      <x:c r="H7" s="2" t="str">
        <x:v>/home/dinos/ns-allinone-3.47/ns-3.47/experiments/execution_217/experiment_2</x:v>
      </x:c>
      <x:c r="I7" s="2" t="str">
        <x:v>OnOffConstant</x:v>
      </x:c>
      <x:c r="J7" s="2" t="str">
        <x:v>dataRate</x:v>
      </x:c>
      <x:c r="K7" s="2" t="n">
        <x:v>100</x:v>
      </x:c>
      <x:c r="L7" s="2" t="n">
        <x:v>100</x:v>
      </x:c>
      <x:c r="M7" s="2" t="n">
        <x:v>400000000</x:v>
      </x:c>
      <x:c r="N7" s="2" t="n">
        <x:v>0.5</x:v>
      </x:c>
      <x:c r="O7" s="2" t="n">
        <x:v>200000000</x:v>
      </x:c>
      <x:c r="P7" s="2" t="n">
        <x:v>200</x:v>
      </x:c>
      <x:c r="Q7" s="7" t="n">
        <x:v>199.99952</x:v>
      </x:c>
      <x:c r="R7" s="2" t="n">
        <x:v>5</x:v>
      </x:c>
      <x:c r="S7" s="2" t="str"/>
      <x:c r="T7" s="2" t="n">
        <x:v>28</x:v>
      </x:c>
      <x:c r="U7" s="2" t="str">
        <x:v>UM</x:v>
      </x:c>
      <x:c r="V7" s="2" t="str">
        <x:v>TdmaRR</x:v>
      </x:c>
      <x:c r="W7" s="3" t="b">
        <x:v>1</x:v>
      </x:c>
      <x:c r="X7" s="2" t="n">
        <x:v>3</x:v>
      </x:c>
      <x:c r="Y7" s="2" t="n">
        <x:v>16</x:v>
      </x:c>
      <x:c r="Z7" s="2" t="str">
        <x:v>Cosine</x:v>
      </x:c>
      <x:c r="AA7" s="2" t="n">
        <x:v>0</x:v>
      </x:c>
      <x:c r="AB7" s="2" t="n">
        <x:v>0</x:v>
      </x:c>
      <x:c r="AC7" s="2" t="n">
        <x:v>120</x:v>
      </x:c>
      <x:c r="AD7" s="2" t="n">
        <x:v>360</x:v>
      </x:c>
      <x:c r="AE7" s="2" t="n">
        <x:v>0</x:v>
      </x:c>
      <x:c r="AF7" s="2" t="n">
        <x:v>3500000000</x:v>
      </x:c>
      <x:c r="AG7" s="2" t="n">
        <x:v>100</x:v>
      </x:c>
      <x:c r="AH7" s="2" t="n">
        <x:v>100.3605998</x:v>
      </x:c>
      <x:c r="AI7" s="2" t="n">
        <x:v>10</x:v>
      </x:c>
      <x:c r="AJ7" s="2" t="n">
        <x:v>100000000</x:v>
      </x:c>
      <x:c r="AK7" s="2" t="n">
        <x:v>2</x:v>
      </x:c>
      <x:c r="AL7" s="2" t="str">
        <x:v>DL|UL|UL|UL|</x:v>
      </x:c>
      <x:c r="AM7" s="2" t="n">
        <x:v>1400</x:v>
      </x:c>
      <x:c r="AN7" s="2" t="n">
        <x:v>1048576</x:v>
      </x:c>
      <x:c r="AO7" s="2" t="n">
        <x:v>42</x:v>
      </x:c>
      <x:c r="AP7" s="2" t="n">
        <x:v>1</x:v>
      </x:c>
      <x:c r="AQ7" s="7" t="n">
        <x:v>154.7083776</x:v>
      </x:c>
      <x:c r="AR7" s="7" t="n">
        <x:v>151.67488</x:v>
      </x:c>
      <x:c r="AS7" s="7" t="n">
        <x:v>28.6798142</x:v>
      </x:c>
      <x:c r="AT7" s="7" t="n">
        <x:v>0.089682405</x:v>
      </x:c>
      <x:c r="AU7" s="7" t="n">
        <x:v>0.24162378</x:v>
      </x:c>
      <x:c r="AV7" s="2" t="n">
        <x:v>178571</x:v>
      </x:c>
      <x:c r="AW7" s="2" t="n">
        <x:v>249999400</x:v>
      </x:c>
      <x:c r="AX7" s="2" t="n">
        <x:v>189593600</x:v>
      </x:c>
      <x:c r="AY7" s="2" t="n">
        <x:v>178571</x:v>
      </x:c>
      <x:c r="AZ7" s="2" t="n">
        <x:v>135424</x:v>
      </x:c>
      <x:c r="BA7" s="2" t="n">
        <x:v>193385472</x:v>
      </x:c>
      <x:c r="BB7" s="2" t="n">
        <x:v>43147</x:v>
      </x:c>
      <x:c r="BC7" s="2" t="str">
        <x:v>experiments/execution_217/batch_dataset.csv</x:v>
      </x:c>
    </x:row>
    <x:row r="8" ht="24" customHeight="1">
      <x:c r="A8" s="2" t="str">
        <x:v>success</x:v>
      </x:c>
      <x:c r="B8" s="2" t="n">
        <x:v>2</x:v>
      </x:c>
      <x:c r="C8" s="2" t="str">
        <x:v>traffic_model_OnOffConstant_run_2</x:v>
      </x:c>
      <x:c r="D8" s="2" t="n">
        <x:v>218</x:v>
      </x:c>
      <x:c r="E8" s="2" t="str">
        <x:v>ns3</x:v>
      </x:c>
      <x:c r="F8" s="2" t="str">
        <x:v>experiments/execution_218/experiment_2/config.json</x:v>
      </x:c>
      <x:c r="G8" s="2" t="str">
        <x:v>experiments/execution_218/experiment_2/results.json</x:v>
      </x:c>
      <x:c r="H8" s="2" t="str">
        <x:v>/home/dinos/ns-allinone-3.47/ns-3.47/experiments/execution_218/experiment_2</x:v>
      </x:c>
      <x:c r="I8" s="2" t="str">
        <x:v>OnOffConstant</x:v>
      </x:c>
      <x:c r="J8" s="2" t="str">
        <x:v>dataRate</x:v>
      </x:c>
      <x:c r="K8" s="2" t="n">
        <x:v>100</x:v>
      </x:c>
      <x:c r="L8" s="2" t="n">
        <x:v>100</x:v>
      </x:c>
      <x:c r="M8" s="2" t="n">
        <x:v>400000000</x:v>
      </x:c>
      <x:c r="N8" s="2" t="n">
        <x:v>0.5</x:v>
      </x:c>
      <x:c r="O8" s="2" t="n">
        <x:v>200000000</x:v>
      </x:c>
      <x:c r="P8" s="2" t="n">
        <x:v>200</x:v>
      </x:c>
      <x:c r="Q8" s="7" t="n">
        <x:v>199.99952</x:v>
      </x:c>
      <x:c r="R8" s="2" t="n">
        <x:v>5</x:v>
      </x:c>
      <x:c r="S8" s="2" t="str"/>
      <x:c r="T8" s="2" t="n">
        <x:v>28</x:v>
      </x:c>
      <x:c r="U8" s="2" t="str">
        <x:v>UM</x:v>
      </x:c>
      <x:c r="V8" s="2" t="str">
        <x:v>TdmaRR</x:v>
      </x:c>
      <x:c r="W8" s="3" t="b">
        <x:v>1</x:v>
      </x:c>
      <x:c r="X8" s="2" t="n">
        <x:v>3</x:v>
      </x:c>
      <x:c r="Y8" s="2" t="n">
        <x:v>16</x:v>
      </x:c>
      <x:c r="Z8" s="2" t="str">
        <x:v>Cosine</x:v>
      </x:c>
      <x:c r="AA8" s="2" t="n">
        <x:v>0</x:v>
      </x:c>
      <x:c r="AB8" s="2" t="n">
        <x:v>0</x:v>
      </x:c>
      <x:c r="AC8" s="2" t="n">
        <x:v>120</x:v>
      </x:c>
      <x:c r="AD8" s="2" t="n">
        <x:v>360</x:v>
      </x:c>
      <x:c r="AE8" s="2" t="n">
        <x:v>0</x:v>
      </x:c>
      <x:c r="AF8" s="2" t="n">
        <x:v>3500000000</x:v>
      </x:c>
      <x:c r="AG8" s="2" t="n">
        <x:v>100</x:v>
      </x:c>
      <x:c r="AH8" s="2" t="n">
        <x:v>100.3605998</x:v>
      </x:c>
      <x:c r="AI8" s="2" t="n">
        <x:v>10</x:v>
      </x:c>
      <x:c r="AJ8" s="2" t="n">
        <x:v>100000000</x:v>
      </x:c>
      <x:c r="AK8" s="2" t="n">
        <x:v>2</x:v>
      </x:c>
      <x:c r="AL8" s="2" t="str">
        <x:v>DL|UL|UL|UL|</x:v>
      </x:c>
      <x:c r="AM8" s="2" t="n">
        <x:v>1400</x:v>
      </x:c>
      <x:c r="AN8" s="2" t="n">
        <x:v>1048576</x:v>
      </x:c>
      <x:c r="AO8" s="2" t="n">
        <x:v>42</x:v>
      </x:c>
      <x:c r="AP8" s="2" t="n">
        <x:v>2</x:v>
      </x:c>
      <x:c r="AQ8" s="7" t="n">
        <x:v>154.7083776</x:v>
      </x:c>
      <x:c r="AR8" s="7" t="n">
        <x:v>151.67488</x:v>
      </x:c>
      <x:c r="AS8" s="7" t="n">
        <x:v>28.63742993</x:v>
      </x:c>
      <x:c r="AT8" s="7" t="n">
        <x:v>0.089593526</x:v>
      </x:c>
      <x:c r="AU8" s="7" t="n">
        <x:v>0.24162378</x:v>
      </x:c>
      <x:c r="AV8" s="2" t="n">
        <x:v>178571</x:v>
      </x:c>
      <x:c r="AW8" s="2" t="n">
        <x:v>249999400</x:v>
      </x:c>
      <x:c r="AX8" s="2" t="n">
        <x:v>189593600</x:v>
      </x:c>
      <x:c r="AY8" s="2" t="n">
        <x:v>178571</x:v>
      </x:c>
      <x:c r="AZ8" s="2" t="n">
        <x:v>135424</x:v>
      </x:c>
      <x:c r="BA8" s="2" t="n">
        <x:v>193385472</x:v>
      </x:c>
      <x:c r="BB8" s="2" t="n">
        <x:v>43147</x:v>
      </x:c>
      <x:c r="BC8" s="2" t="str">
        <x:v>experiments/execution_218/batch_dataset.csv</x:v>
      </x:c>
    </x:row>
    <x:row r="9" ht="24" customHeight="1">
      <x:c r="A9" s="2" t="str">
        <x:v>success</x:v>
      </x:c>
      <x:c r="B9" s="2" t="n">
        <x:v>2</x:v>
      </x:c>
      <x:c r="C9" s="2" t="str">
        <x:v>traffic_model_OnOffConstant_run_3</x:v>
      </x:c>
      <x:c r="D9" s="2" t="n">
        <x:v>219</x:v>
      </x:c>
      <x:c r="E9" s="2" t="str">
        <x:v>ns3</x:v>
      </x:c>
      <x:c r="F9" s="2" t="str">
        <x:v>experiments/execution_219/experiment_2/config.json</x:v>
      </x:c>
      <x:c r="G9" s="2" t="str">
        <x:v>experiments/execution_219/experiment_2/results.json</x:v>
      </x:c>
      <x:c r="H9" s="2" t="str">
        <x:v>/home/dinos/ns-allinone-3.47/ns-3.47/experiments/execution_219/experiment_2</x:v>
      </x:c>
      <x:c r="I9" s="2" t="str">
        <x:v>OnOffConstant</x:v>
      </x:c>
      <x:c r="J9" s="2" t="str">
        <x:v>dataRate</x:v>
      </x:c>
      <x:c r="K9" s="2" t="n">
        <x:v>100</x:v>
      </x:c>
      <x:c r="L9" s="2" t="n">
        <x:v>100</x:v>
      </x:c>
      <x:c r="M9" s="2" t="n">
        <x:v>400000000</x:v>
      </x:c>
      <x:c r="N9" s="2" t="n">
        <x:v>0.5</x:v>
      </x:c>
      <x:c r="O9" s="2" t="n">
        <x:v>200000000</x:v>
      </x:c>
      <x:c r="P9" s="2" t="n">
        <x:v>200</x:v>
      </x:c>
      <x:c r="Q9" s="7" t="n">
        <x:v>199.99952</x:v>
      </x:c>
      <x:c r="R9" s="2" t="n">
        <x:v>5</x:v>
      </x:c>
      <x:c r="S9" s="2" t="str"/>
      <x:c r="T9" s="2" t="n">
        <x:v>28</x:v>
      </x:c>
      <x:c r="U9" s="2" t="str">
        <x:v>UM</x:v>
      </x:c>
      <x:c r="V9" s="2" t="str">
        <x:v>TdmaRR</x:v>
      </x:c>
      <x:c r="W9" s="3" t="b">
        <x:v>1</x:v>
      </x:c>
      <x:c r="X9" s="2" t="n">
        <x:v>3</x:v>
      </x:c>
      <x:c r="Y9" s="2" t="n">
        <x:v>16</x:v>
      </x:c>
      <x:c r="Z9" s="2" t="str">
        <x:v>Cosine</x:v>
      </x:c>
      <x:c r="AA9" s="2" t="n">
        <x:v>0</x:v>
      </x:c>
      <x:c r="AB9" s="2" t="n">
        <x:v>0</x:v>
      </x:c>
      <x:c r="AC9" s="2" t="n">
        <x:v>120</x:v>
      </x:c>
      <x:c r="AD9" s="2" t="n">
        <x:v>360</x:v>
      </x:c>
      <x:c r="AE9" s="2" t="n">
        <x:v>0</x:v>
      </x:c>
      <x:c r="AF9" s="2" t="n">
        <x:v>3500000000</x:v>
      </x:c>
      <x:c r="AG9" s="2" t="n">
        <x:v>100</x:v>
      </x:c>
      <x:c r="AH9" s="2" t="n">
        <x:v>100.3605998</x:v>
      </x:c>
      <x:c r="AI9" s="2" t="n">
        <x:v>10</x:v>
      </x:c>
      <x:c r="AJ9" s="2" t="n">
        <x:v>100000000</x:v>
      </x:c>
      <x:c r="AK9" s="2" t="n">
        <x:v>2</x:v>
      </x:c>
      <x:c r="AL9" s="2" t="str">
        <x:v>DL|UL|UL|UL|</x:v>
      </x:c>
      <x:c r="AM9" s="2" t="n">
        <x:v>1400</x:v>
      </x:c>
      <x:c r="AN9" s="2" t="n">
        <x:v>1048576</x:v>
      </x:c>
      <x:c r="AO9" s="2" t="n">
        <x:v>42</x:v>
      </x:c>
      <x:c r="AP9" s="2" t="n">
        <x:v>3</x:v>
      </x:c>
      <x:c r="AQ9" s="7" t="n">
        <x:v>154.5084576</x:v>
      </x:c>
      <x:c r="AR9" s="7" t="n">
        <x:v>151.47888</x:v>
      </x:c>
      <x:c r="AS9" s="7" t="n">
        <x:v>28.69258892</x:v>
      </x:c>
      <x:c r="AT9" s="7" t="n">
        <x:v>0.089780278</x:v>
      </x:c>
      <x:c r="AU9" s="7" t="n">
        <x:v>0.242603782</x:v>
      </x:c>
      <x:c r="AV9" s="2" t="n">
        <x:v>178571</x:v>
      </x:c>
      <x:c r="AW9" s="2" t="n">
        <x:v>249999400</x:v>
      </x:c>
      <x:c r="AX9" s="2" t="n">
        <x:v>189348600</x:v>
      </x:c>
      <x:c r="AY9" s="2" t="n">
        <x:v>178571</x:v>
      </x:c>
      <x:c r="AZ9" s="2" t="n">
        <x:v>135249</x:v>
      </x:c>
      <x:c r="BA9" s="2" t="n">
        <x:v>193135572</x:v>
      </x:c>
      <x:c r="BB9" s="2" t="n">
        <x:v>43322</x:v>
      </x:c>
      <x:c r="BC9" s="2" t="str">
        <x:v>experiments/execution_219/batch_dataset.csv</x:v>
      </x:c>
    </x:row>
    <x:row r="10" ht="24" customHeight="1">
      <x:c r="A10" s="2" t="str">
        <x:v>success</x:v>
      </x:c>
      <x:c r="B10" s="2" t="n">
        <x:v>2</x:v>
      </x:c>
      <x:c r="C10" s="2" t="str">
        <x:v>traffic_model_OnOffConstant_run_4</x:v>
      </x:c>
      <x:c r="D10" s="2" t="n">
        <x:v>220</x:v>
      </x:c>
      <x:c r="E10" s="2" t="str">
        <x:v>ns3</x:v>
      </x:c>
      <x:c r="F10" s="2" t="str">
        <x:v>experiments/execution_220/experiment_2/config.json</x:v>
      </x:c>
      <x:c r="G10" s="2" t="str">
        <x:v>experiments/execution_220/experiment_2/results.json</x:v>
      </x:c>
      <x:c r="H10" s="2" t="str">
        <x:v>/home/dinos/ns-allinone-3.47/ns-3.47/experiments/execution_220/experiment_2</x:v>
      </x:c>
      <x:c r="I10" s="2" t="str">
        <x:v>OnOffConstant</x:v>
      </x:c>
      <x:c r="J10" s="2" t="str">
        <x:v>dataRate</x:v>
      </x:c>
      <x:c r="K10" s="2" t="n">
        <x:v>100</x:v>
      </x:c>
      <x:c r="L10" s="2" t="n">
        <x:v>100</x:v>
      </x:c>
      <x:c r="M10" s="2" t="n">
        <x:v>400000000</x:v>
      </x:c>
      <x:c r="N10" s="2" t="n">
        <x:v>0.5</x:v>
      </x:c>
      <x:c r="O10" s="2" t="n">
        <x:v>200000000</x:v>
      </x:c>
      <x:c r="P10" s="2" t="n">
        <x:v>200</x:v>
      </x:c>
      <x:c r="Q10" s="7" t="n">
        <x:v>199.99952</x:v>
      </x:c>
      <x:c r="R10" s="2" t="n">
        <x:v>5</x:v>
      </x:c>
      <x:c r="S10" s="2" t="str"/>
      <x:c r="T10" s="2" t="n">
        <x:v>28</x:v>
      </x:c>
      <x:c r="U10" s="2" t="str">
        <x:v>UM</x:v>
      </x:c>
      <x:c r="V10" s="2" t="str">
        <x:v>TdmaRR</x:v>
      </x:c>
      <x:c r="W10" s="3" t="b">
        <x:v>1</x:v>
      </x:c>
      <x:c r="X10" s="2" t="n">
        <x:v>3</x:v>
      </x:c>
      <x:c r="Y10" s="2" t="n">
        <x:v>16</x:v>
      </x:c>
      <x:c r="Z10" s="2" t="str">
        <x:v>Cosine</x:v>
      </x:c>
      <x:c r="AA10" s="2" t="n">
        <x:v>0</x:v>
      </x:c>
      <x:c r="AB10" s="2" t="n">
        <x:v>0</x:v>
      </x:c>
      <x:c r="AC10" s="2" t="n">
        <x:v>120</x:v>
      </x:c>
      <x:c r="AD10" s="2" t="n">
        <x:v>360</x:v>
      </x:c>
      <x:c r="AE10" s="2" t="n">
        <x:v>0</x:v>
      </x:c>
      <x:c r="AF10" s="2" t="n">
        <x:v>3500000000</x:v>
      </x:c>
      <x:c r="AG10" s="2" t="n">
        <x:v>100</x:v>
      </x:c>
      <x:c r="AH10" s="2" t="n">
        <x:v>100.3605998</x:v>
      </x:c>
      <x:c r="AI10" s="2" t="n">
        <x:v>10</x:v>
      </x:c>
      <x:c r="AJ10" s="2" t="n">
        <x:v>100000000</x:v>
      </x:c>
      <x:c r="AK10" s="2" t="n">
        <x:v>2</x:v>
      </x:c>
      <x:c r="AL10" s="2" t="str">
        <x:v>DL|UL|UL|UL|</x:v>
      </x:c>
      <x:c r="AM10" s="2" t="n">
        <x:v>1400</x:v>
      </x:c>
      <x:c r="AN10" s="2" t="n">
        <x:v>1048576</x:v>
      </x:c>
      <x:c r="AO10" s="2" t="n">
        <x:v>42</x:v>
      </x:c>
      <x:c r="AP10" s="2" t="n">
        <x:v>4</x:v>
      </x:c>
      <x:c r="AQ10" s="7" t="n">
        <x:v>154.7083776</x:v>
      </x:c>
      <x:c r="AR10" s="7" t="n">
        <x:v>151.67488</x:v>
      </x:c>
      <x:c r="AS10" s="7" t="n">
        <x:v>28.66085743</x:v>
      </x:c>
      <x:c r="AT10" s="7" t="n">
        <x:v>0.089685704</x:v>
      </x:c>
      <x:c r="AU10" s="7" t="n">
        <x:v>0.24162378</x:v>
      </x:c>
      <x:c r="AV10" s="2" t="n">
        <x:v>178571</x:v>
      </x:c>
      <x:c r="AW10" s="2" t="n">
        <x:v>249999400</x:v>
      </x:c>
      <x:c r="AX10" s="2" t="n">
        <x:v>189593600</x:v>
      </x:c>
      <x:c r="AY10" s="2" t="n">
        <x:v>178571</x:v>
      </x:c>
      <x:c r="AZ10" s="2" t="n">
        <x:v>135424</x:v>
      </x:c>
      <x:c r="BA10" s="2" t="n">
        <x:v>193385472</x:v>
      </x:c>
      <x:c r="BB10" s="2" t="n">
        <x:v>43147</x:v>
      </x:c>
      <x:c r="BC10" s="2" t="str">
        <x:v>experiments/execution_220/batch_dataset.csv</x:v>
      </x:c>
    </x:row>
    <x:row r="11" ht="24" customHeight="1">
      <x:c r="A11" s="2" t="str">
        <x:v>success</x:v>
      </x:c>
      <x:c r="B11" s="2" t="n">
        <x:v>2</x:v>
      </x:c>
      <x:c r="C11" s="2" t="str">
        <x:v>traffic_model_OnOffConstant_run_5</x:v>
      </x:c>
      <x:c r="D11" s="2" t="n">
        <x:v>221</x:v>
      </x:c>
      <x:c r="E11" s="2" t="str">
        <x:v>ns3</x:v>
      </x:c>
      <x:c r="F11" s="2" t="str">
        <x:v>experiments/execution_221/experiment_2/config.json</x:v>
      </x:c>
      <x:c r="G11" s="2" t="str">
        <x:v>experiments/execution_221/experiment_2/results.json</x:v>
      </x:c>
      <x:c r="H11" s="2" t="str">
        <x:v>/home/dinos/ns-allinone-3.47/ns-3.47/experiments/execution_221/experiment_2</x:v>
      </x:c>
      <x:c r="I11" s="2" t="str">
        <x:v>OnOffConstant</x:v>
      </x:c>
      <x:c r="J11" s="2" t="str">
        <x:v>dataRate</x:v>
      </x:c>
      <x:c r="K11" s="2" t="n">
        <x:v>100</x:v>
      </x:c>
      <x:c r="L11" s="2" t="n">
        <x:v>100</x:v>
      </x:c>
      <x:c r="M11" s="2" t="n">
        <x:v>400000000</x:v>
      </x:c>
      <x:c r="N11" s="2" t="n">
        <x:v>0.5</x:v>
      </x:c>
      <x:c r="O11" s="2" t="n">
        <x:v>200000000</x:v>
      </x:c>
      <x:c r="P11" s="2" t="n">
        <x:v>200</x:v>
      </x:c>
      <x:c r="Q11" s="7" t="n">
        <x:v>199.99952</x:v>
      </x:c>
      <x:c r="R11" s="2" t="n">
        <x:v>5</x:v>
      </x:c>
      <x:c r="S11" s="2" t="str"/>
      <x:c r="T11" s="2" t="n">
        <x:v>28</x:v>
      </x:c>
      <x:c r="U11" s="2" t="str">
        <x:v>UM</x:v>
      </x:c>
      <x:c r="V11" s="2" t="str">
        <x:v>TdmaRR</x:v>
      </x:c>
      <x:c r="W11" s="3" t="b">
        <x:v>1</x:v>
      </x:c>
      <x:c r="X11" s="2" t="n">
        <x:v>3</x:v>
      </x:c>
      <x:c r="Y11" s="2" t="n">
        <x:v>16</x:v>
      </x:c>
      <x:c r="Z11" s="2" t="str">
        <x:v>Cosine</x:v>
      </x:c>
      <x:c r="AA11" s="2" t="n">
        <x:v>0</x:v>
      </x:c>
      <x:c r="AB11" s="2" t="n">
        <x:v>0</x:v>
      </x:c>
      <x:c r="AC11" s="2" t="n">
        <x:v>120</x:v>
      </x:c>
      <x:c r="AD11" s="2" t="n">
        <x:v>360</x:v>
      </x:c>
      <x:c r="AE11" s="2" t="n">
        <x:v>0</x:v>
      </x:c>
      <x:c r="AF11" s="2" t="n">
        <x:v>3500000000</x:v>
      </x:c>
      <x:c r="AG11" s="2" t="n">
        <x:v>100</x:v>
      </x:c>
      <x:c r="AH11" s="2" t="n">
        <x:v>100.3605998</x:v>
      </x:c>
      <x:c r="AI11" s="2" t="n">
        <x:v>10</x:v>
      </x:c>
      <x:c r="AJ11" s="2" t="n">
        <x:v>100000000</x:v>
      </x:c>
      <x:c r="AK11" s="2" t="n">
        <x:v>2</x:v>
      </x:c>
      <x:c r="AL11" s="2" t="str">
        <x:v>DL|UL|UL|UL|</x:v>
      </x:c>
      <x:c r="AM11" s="2" t="n">
        <x:v>1400</x:v>
      </x:c>
      <x:c r="AN11" s="2" t="n">
        <x:v>1048576</x:v>
      </x:c>
      <x:c r="AO11" s="2" t="n">
        <x:v>42</x:v>
      </x:c>
      <x:c r="AP11" s="2" t="n">
        <x:v>5</x:v>
      </x:c>
      <x:c r="AQ11" s="7" t="n">
        <x:v>154.5084576</x:v>
      </x:c>
      <x:c r="AR11" s="7" t="n">
        <x:v>151.47888</x:v>
      </x:c>
      <x:c r="AS11" s="7" t="n">
        <x:v>28.68437207</x:v>
      </x:c>
      <x:c r="AT11" s="7" t="n">
        <x:v>0.089712036</x:v>
      </x:c>
      <x:c r="AU11" s="7" t="n">
        <x:v>0.242603782</x:v>
      </x:c>
      <x:c r="AV11" s="2" t="n">
        <x:v>178571</x:v>
      </x:c>
      <x:c r="AW11" s="2" t="n">
        <x:v>249999400</x:v>
      </x:c>
      <x:c r="AX11" s="2" t="n">
        <x:v>189348600</x:v>
      </x:c>
      <x:c r="AY11" s="2" t="n">
        <x:v>178571</x:v>
      </x:c>
      <x:c r="AZ11" s="2" t="n">
        <x:v>135249</x:v>
      </x:c>
      <x:c r="BA11" s="2" t="n">
        <x:v>193135572</x:v>
      </x:c>
      <x:c r="BB11" s="2" t="n">
        <x:v>43322</x:v>
      </x:c>
      <x:c r="BC11" s="2" t="str">
        <x:v>experiments/execution_221/batch_dataset.csv</x:v>
      </x:c>
    </x:row>
    <x:row r="12" ht="24" customHeight="1">
      <x:c r="A12" s="2" t="str">
        <x:v>success</x:v>
      </x:c>
      <x:c r="B12" s="2" t="n">
        <x:v>3</x:v>
      </x:c>
      <x:c r="C12" s="2" t="str">
        <x:v>traffic_model_OnOffExponential_run_1</x:v>
      </x:c>
      <x:c r="D12" s="2" t="n">
        <x:v>217</x:v>
      </x:c>
      <x:c r="E12" s="2" t="str">
        <x:v>ns3</x:v>
      </x:c>
      <x:c r="F12" s="2" t="str">
        <x:v>experiments/execution_217/experiment_3/config.json</x:v>
      </x:c>
      <x:c r="G12" s="2" t="str">
        <x:v>experiments/execution_217/experiment_3/results.json</x:v>
      </x:c>
      <x:c r="H12" s="2" t="str">
        <x:v>/home/dinos/ns-allinone-3.47/ns-3.47/experiments/execution_217/experiment_3</x:v>
      </x:c>
      <x:c r="I12" s="2" t="str">
        <x:v>OnOffExponential</x:v>
      </x:c>
      <x:c r="J12" s="2" t="str">
        <x:v>dataRate</x:v>
      </x:c>
      <x:c r="K12" s="2" t="n">
        <x:v>100</x:v>
      </x:c>
      <x:c r="L12" s="2" t="n">
        <x:v>100</x:v>
      </x:c>
      <x:c r="M12" s="2" t="n">
        <x:v>400000000</x:v>
      </x:c>
      <x:c r="N12" s="2" t="n">
        <x:v>0.5</x:v>
      </x:c>
      <x:c r="O12" s="2" t="n">
        <x:v>200000000</x:v>
      </x:c>
      <x:c r="P12" s="2" t="n">
        <x:v>200</x:v>
      </x:c>
      <x:c r="Q12" s="7" t="n">
        <x:v>207.08464</x:v>
      </x:c>
      <x:c r="R12" s="2" t="n">
        <x:v>5</x:v>
      </x:c>
      <x:c r="S12" s="2" t="str"/>
      <x:c r="T12" s="2" t="n">
        <x:v>28</x:v>
      </x:c>
      <x:c r="U12" s="2" t="str">
        <x:v>UM</x:v>
      </x:c>
      <x:c r="V12" s="2" t="str">
        <x:v>TdmaRR</x:v>
      </x:c>
      <x:c r="W12" s="3" t="b">
        <x:v>1</x:v>
      </x:c>
      <x:c r="X12" s="2" t="n">
        <x:v>3</x:v>
      </x:c>
      <x:c r="Y12" s="2" t="n">
        <x:v>16</x:v>
      </x:c>
      <x:c r="Z12" s="2" t="str">
        <x:v>Cosine</x:v>
      </x:c>
      <x:c r="AA12" s="2" t="n">
        <x:v>0</x:v>
      </x:c>
      <x:c r="AB12" s="2" t="n">
        <x:v>0</x:v>
      </x:c>
      <x:c r="AC12" s="2" t="n">
        <x:v>120</x:v>
      </x:c>
      <x:c r="AD12" s="2" t="n">
        <x:v>360</x:v>
      </x:c>
      <x:c r="AE12" s="2" t="n">
        <x:v>0</x:v>
      </x:c>
      <x:c r="AF12" s="2" t="n">
        <x:v>3500000000</x:v>
      </x:c>
      <x:c r="AG12" s="2" t="n">
        <x:v>100</x:v>
      </x:c>
      <x:c r="AH12" s="2" t="n">
        <x:v>100.3605998</x:v>
      </x:c>
      <x:c r="AI12" s="2" t="n">
        <x:v>10</x:v>
      </x:c>
      <x:c r="AJ12" s="2" t="n">
        <x:v>100000000</x:v>
      </x:c>
      <x:c r="AK12" s="2" t="n">
        <x:v>2</x:v>
      </x:c>
      <x:c r="AL12" s="2" t="str">
        <x:v>DL|UL|UL|UL|</x:v>
      </x:c>
      <x:c r="AM12" s="2" t="n">
        <x:v>1400</x:v>
      </x:c>
      <x:c r="AN12" s="2" t="n">
        <x:v>1048576</x:v>
      </x:c>
      <x:c r="AO12" s="2" t="n">
        <x:v>42</x:v>
      </x:c>
      <x:c r="AP12" s="2" t="n">
        <x:v>1</x:v>
      </x:c>
      <x:c r="AQ12" s="7" t="n">
        <x:v>151.979184</x:v>
      </x:c>
      <x:c r="AR12" s="7" t="n">
        <x:v>148.9992</x:v>
      </x:c>
      <x:c r="AS12" s="7" t="n">
        <x:v>29.82079234</x:v>
      </x:c>
      <x:c r="AT12" s="7" t="n">
        <x:v>0.08979771</x:v>
      </x:c>
      <x:c r="AU12" s="7" t="n">
        <x:v>0.280491301</x:v>
      </x:c>
      <x:c r="AV12" s="2" t="n">
        <x:v>184897</x:v>
      </x:c>
      <x:c r="AW12" s="2" t="n">
        <x:v>258855800</x:v>
      </x:c>
      <x:c r="AX12" s="2" t="n">
        <x:v>186249000</x:v>
      </x:c>
      <x:c r="AY12" s="2" t="n">
        <x:v>184897</x:v>
      </x:c>
      <x:c r="AZ12" s="2" t="n">
        <x:v>133035</x:v>
      </x:c>
      <x:c r="BA12" s="2" t="n">
        <x:v>189973980</x:v>
      </x:c>
      <x:c r="BB12" s="2" t="n">
        <x:v>51862</x:v>
      </x:c>
      <x:c r="BC12" s="2" t="str">
        <x:v>experiments/execution_217/batch_dataset.csv</x:v>
      </x:c>
    </x:row>
    <x:row r="13" ht="24" customHeight="1">
      <x:c r="A13" s="2" t="str">
        <x:v>success</x:v>
      </x:c>
      <x:c r="B13" s="2" t="n">
        <x:v>3</x:v>
      </x:c>
      <x:c r="C13" s="2" t="str">
        <x:v>traffic_model_OnOffExponential_run_2</x:v>
      </x:c>
      <x:c r="D13" s="2" t="n">
        <x:v>218</x:v>
      </x:c>
      <x:c r="E13" s="2" t="str">
        <x:v>ns3</x:v>
      </x:c>
      <x:c r="F13" s="2" t="str">
        <x:v>experiments/execution_218/experiment_3/config.json</x:v>
      </x:c>
      <x:c r="G13" s="2" t="str">
        <x:v>experiments/execution_218/experiment_3/results.json</x:v>
      </x:c>
      <x:c r="H13" s="2" t="str">
        <x:v>/home/dinos/ns-allinone-3.47/ns-3.47/experiments/execution_218/experiment_3</x:v>
      </x:c>
      <x:c r="I13" s="2" t="str">
        <x:v>OnOffExponential</x:v>
      </x:c>
      <x:c r="J13" s="2" t="str">
        <x:v>dataRate</x:v>
      </x:c>
      <x:c r="K13" s="2" t="n">
        <x:v>100</x:v>
      </x:c>
      <x:c r="L13" s="2" t="n">
        <x:v>100</x:v>
      </x:c>
      <x:c r="M13" s="2" t="n">
        <x:v>400000000</x:v>
      </x:c>
      <x:c r="N13" s="2" t="n">
        <x:v>0.5</x:v>
      </x:c>
      <x:c r="O13" s="2" t="n">
        <x:v>200000000</x:v>
      </x:c>
      <x:c r="P13" s="2" t="n">
        <x:v>200</x:v>
      </x:c>
      <x:c r="Q13" s="7" t="n">
        <x:v>201.62016</x:v>
      </x:c>
      <x:c r="R13" s="2" t="n">
        <x:v>5</x:v>
      </x:c>
      <x:c r="S13" s="2" t="str"/>
      <x:c r="T13" s="2" t="n">
        <x:v>28</x:v>
      </x:c>
      <x:c r="U13" s="2" t="str">
        <x:v>UM</x:v>
      </x:c>
      <x:c r="V13" s="2" t="str">
        <x:v>TdmaRR</x:v>
      </x:c>
      <x:c r="W13" s="3" t="b">
        <x:v>1</x:v>
      </x:c>
      <x:c r="X13" s="2" t="n">
        <x:v>3</x:v>
      </x:c>
      <x:c r="Y13" s="2" t="n">
        <x:v>16</x:v>
      </x:c>
      <x:c r="Z13" s="2" t="str">
        <x:v>Cosine</x:v>
      </x:c>
      <x:c r="AA13" s="2" t="n">
        <x:v>0</x:v>
      </x:c>
      <x:c r="AB13" s="2" t="n">
        <x:v>0</x:v>
      </x:c>
      <x:c r="AC13" s="2" t="n">
        <x:v>120</x:v>
      </x:c>
      <x:c r="AD13" s="2" t="n">
        <x:v>360</x:v>
      </x:c>
      <x:c r="AE13" s="2" t="n">
        <x:v>0</x:v>
      </x:c>
      <x:c r="AF13" s="2" t="n">
        <x:v>3500000000</x:v>
      </x:c>
      <x:c r="AG13" s="2" t="n">
        <x:v>100</x:v>
      </x:c>
      <x:c r="AH13" s="2" t="n">
        <x:v>100.3605998</x:v>
      </x:c>
      <x:c r="AI13" s="2" t="n">
        <x:v>10</x:v>
      </x:c>
      <x:c r="AJ13" s="2" t="n">
        <x:v>100000000</x:v>
      </x:c>
      <x:c r="AK13" s="2" t="n">
        <x:v>2</x:v>
      </x:c>
      <x:c r="AL13" s="2" t="str">
        <x:v>DL|UL|UL|UL|</x:v>
      </x:c>
      <x:c r="AM13" s="2" t="n">
        <x:v>1400</x:v>
      </x:c>
      <x:c r="AN13" s="2" t="n">
        <x:v>1048576</x:v>
      </x:c>
      <x:c r="AO13" s="2" t="n">
        <x:v>42</x:v>
      </x:c>
      <x:c r="AP13" s="2" t="n">
        <x:v>2</x:v>
      </x:c>
      <x:c r="AQ13" s="7" t="n">
        <x:v>140.246736</x:v>
      </x:c>
      <x:c r="AR13" s="7" t="n">
        <x:v>137.4968</x:v>
      </x:c>
      <x:c r="AS13" s="7" t="n">
        <x:v>31.87514914</x:v>
      </x:c>
      <x:c r="AT13" s="7" t="n">
        <x:v>0.089776648</x:v>
      </x:c>
      <x:c r="AU13" s="7" t="n">
        <x:v>0.318040418</x:v>
      </x:c>
      <x:c r="AV13" s="2" t="n">
        <x:v>180018</x:v>
      </x:c>
      <x:c r="AW13" s="2" t="n">
        <x:v>252025200</x:v>
      </x:c>
      <x:c r="AX13" s="2" t="n">
        <x:v>171871000</x:v>
      </x:c>
      <x:c r="AY13" s="2" t="n">
        <x:v>180018</x:v>
      </x:c>
      <x:c r="AZ13" s="2" t="n">
        <x:v>122765</x:v>
      </x:c>
      <x:c r="BA13" s="2" t="n">
        <x:v>175308420</x:v>
      </x:c>
      <x:c r="BB13" s="2" t="n">
        <x:v>57253</x:v>
      </x:c>
      <x:c r="BC13" s="2" t="str">
        <x:v>experiments/execution_218/batch_dataset.csv</x:v>
      </x:c>
    </x:row>
    <x:row r="14" ht="24" customHeight="1">
      <x:c r="A14" s="2" t="str">
        <x:v>success</x:v>
      </x:c>
      <x:c r="B14" s="2" t="n">
        <x:v>3</x:v>
      </x:c>
      <x:c r="C14" s="2" t="str">
        <x:v>traffic_model_OnOffExponential_run_3</x:v>
      </x:c>
      <x:c r="D14" s="2" t="n">
        <x:v>219</x:v>
      </x:c>
      <x:c r="E14" s="2" t="str">
        <x:v>ns3</x:v>
      </x:c>
      <x:c r="F14" s="2" t="str">
        <x:v>experiments/execution_219/experiment_3/config.json</x:v>
      </x:c>
      <x:c r="G14" s="2" t="str">
        <x:v>experiments/execution_219/experiment_3/results.json</x:v>
      </x:c>
      <x:c r="H14" s="2" t="str">
        <x:v>/home/dinos/ns-allinone-3.47/ns-3.47/experiments/execution_219/experiment_3</x:v>
      </x:c>
      <x:c r="I14" s="2" t="str">
        <x:v>OnOffExponential</x:v>
      </x:c>
      <x:c r="J14" s="2" t="str">
        <x:v>dataRate</x:v>
      </x:c>
      <x:c r="K14" s="2" t="n">
        <x:v>100</x:v>
      </x:c>
      <x:c r="L14" s="2" t="n">
        <x:v>100</x:v>
      </x:c>
      <x:c r="M14" s="2" t="n">
        <x:v>400000000</x:v>
      </x:c>
      <x:c r="N14" s="2" t="n">
        <x:v>0.5</x:v>
      </x:c>
      <x:c r="O14" s="2" t="n">
        <x:v>200000000</x:v>
      </x:c>
      <x:c r="P14" s="2" t="n">
        <x:v>200</x:v>
      </x:c>
      <x:c r="Q14" s="7" t="n">
        <x:v>175.0336</x:v>
      </x:c>
      <x:c r="R14" s="2" t="n">
        <x:v>5</x:v>
      </x:c>
      <x:c r="S14" s="2" t="str"/>
      <x:c r="T14" s="2" t="n">
        <x:v>28</x:v>
      </x:c>
      <x:c r="U14" s="2" t="str">
        <x:v>UM</x:v>
      </x:c>
      <x:c r="V14" s="2" t="str">
        <x:v>TdmaRR</x:v>
      </x:c>
      <x:c r="W14" s="3" t="b">
        <x:v>1</x:v>
      </x:c>
      <x:c r="X14" s="2" t="n">
        <x:v>3</x:v>
      </x:c>
      <x:c r="Y14" s="2" t="n">
        <x:v>16</x:v>
      </x:c>
      <x:c r="Z14" s="2" t="str">
        <x:v>Cosine</x:v>
      </x:c>
      <x:c r="AA14" s="2" t="n">
        <x:v>0</x:v>
      </x:c>
      <x:c r="AB14" s="2" t="n">
        <x:v>0</x:v>
      </x:c>
      <x:c r="AC14" s="2" t="n">
        <x:v>120</x:v>
      </x:c>
      <x:c r="AD14" s="2" t="n">
        <x:v>360</x:v>
      </x:c>
      <x:c r="AE14" s="2" t="n">
        <x:v>0</x:v>
      </x:c>
      <x:c r="AF14" s="2" t="n">
        <x:v>3500000000</x:v>
      </x:c>
      <x:c r="AG14" s="2" t="n">
        <x:v>100</x:v>
      </x:c>
      <x:c r="AH14" s="2" t="n">
        <x:v>100.3605998</x:v>
      </x:c>
      <x:c r="AI14" s="2" t="n">
        <x:v>10</x:v>
      </x:c>
      <x:c r="AJ14" s="2" t="n">
        <x:v>100000000</x:v>
      </x:c>
      <x:c r="AK14" s="2" t="n">
        <x:v>2</x:v>
      </x:c>
      <x:c r="AL14" s="2" t="str">
        <x:v>DL|UL|UL|UL|</x:v>
      </x:c>
      <x:c r="AM14" s="2" t="n">
        <x:v>1400</x:v>
      </x:c>
      <x:c r="AN14" s="2" t="n">
        <x:v>1048576</x:v>
      </x:c>
      <x:c r="AO14" s="2" t="n">
        <x:v>42</x:v>
      </x:c>
      <x:c r="AP14" s="2" t="n">
        <x:v>3</x:v>
      </x:c>
      <x:c r="AQ14" s="7" t="n">
        <x:v>130.9624512</x:v>
      </x:c>
      <x:c r="AR14" s="7" t="n">
        <x:v>128.39456</x:v>
      </x:c>
      <x:c r="AS14" s="7" t="n">
        <x:v>29.10063825</x:v>
      </x:c>
      <x:c r="AT14" s="7" t="n">
        <x:v>0.089711944</x:v>
      </x:c>
      <x:c r="AU14" s="7" t="n">
        <x:v>0.26645764</x:v>
      </x:c>
      <x:c r="AV14" s="2" t="n">
        <x:v>156280</x:v>
      </x:c>
      <x:c r="AW14" s="2" t="n">
        <x:v>218792000</x:v>
      </x:c>
      <x:c r="AX14" s="2" t="n">
        <x:v>160493200</x:v>
      </x:c>
      <x:c r="AY14" s="2" t="n">
        <x:v>156280</x:v>
      </x:c>
      <x:c r="AZ14" s="2" t="n">
        <x:v>114638</x:v>
      </x:c>
      <x:c r="BA14" s="2" t="n">
        <x:v>163703064</x:v>
      </x:c>
      <x:c r="BB14" s="2" t="n">
        <x:v>41642</x:v>
      </x:c>
      <x:c r="BC14" s="2" t="str">
        <x:v>experiments/execution_219/batch_dataset.csv</x:v>
      </x:c>
    </x:row>
    <x:row r="15" ht="24" customHeight="1">
      <x:c r="A15" s="2" t="str">
        <x:v>success</x:v>
      </x:c>
      <x:c r="B15" s="2" t="n">
        <x:v>3</x:v>
      </x:c>
      <x:c r="C15" s="2" t="str">
        <x:v>traffic_model_OnOffExponential_run_4</x:v>
      </x:c>
      <x:c r="D15" s="2" t="n">
        <x:v>220</x:v>
      </x:c>
      <x:c r="E15" s="2" t="str">
        <x:v>ns3</x:v>
      </x:c>
      <x:c r="F15" s="2" t="str">
        <x:v>experiments/execution_220/experiment_3/config.json</x:v>
      </x:c>
      <x:c r="G15" s="2" t="str">
        <x:v>experiments/execution_220/experiment_3/results.json</x:v>
      </x:c>
      <x:c r="H15" s="2" t="str">
        <x:v>/home/dinos/ns-allinone-3.47/ns-3.47/experiments/execution_220/experiment_3</x:v>
      </x:c>
      <x:c r="I15" s="2" t="str">
        <x:v>OnOffExponential</x:v>
      </x:c>
      <x:c r="J15" s="2" t="str">
        <x:v>dataRate</x:v>
      </x:c>
      <x:c r="K15" s="2" t="n">
        <x:v>100</x:v>
      </x:c>
      <x:c r="L15" s="2" t="n">
        <x:v>100</x:v>
      </x:c>
      <x:c r="M15" s="2" t="n">
        <x:v>400000000</x:v>
      </x:c>
      <x:c r="N15" s="2" t="n">
        <x:v>0.5</x:v>
      </x:c>
      <x:c r="O15" s="2" t="n">
        <x:v>200000000</x:v>
      </x:c>
      <x:c r="P15" s="2" t="n">
        <x:v>200</x:v>
      </x:c>
      <x:c r="Q15" s="7" t="n">
        <x:v>225.7192</x:v>
      </x:c>
      <x:c r="R15" s="2" t="n">
        <x:v>5</x:v>
      </x:c>
      <x:c r="S15" s="2" t="str"/>
      <x:c r="T15" s="2" t="n">
        <x:v>28</x:v>
      </x:c>
      <x:c r="U15" s="2" t="str">
        <x:v>UM</x:v>
      </x:c>
      <x:c r="V15" s="2" t="str">
        <x:v>TdmaRR</x:v>
      </x:c>
      <x:c r="W15" s="3" t="b">
        <x:v>1</x:v>
      </x:c>
      <x:c r="X15" s="2" t="n">
        <x:v>3</x:v>
      </x:c>
      <x:c r="Y15" s="2" t="n">
        <x:v>16</x:v>
      </x:c>
      <x:c r="Z15" s="2" t="str">
        <x:v>Cosine</x:v>
      </x:c>
      <x:c r="AA15" s="2" t="n">
        <x:v>0</x:v>
      </x:c>
      <x:c r="AB15" s="2" t="n">
        <x:v>0</x:v>
      </x:c>
      <x:c r="AC15" s="2" t="n">
        <x:v>120</x:v>
      </x:c>
      <x:c r="AD15" s="2" t="n">
        <x:v>360</x:v>
      </x:c>
      <x:c r="AE15" s="2" t="n">
        <x:v>0</x:v>
      </x:c>
      <x:c r="AF15" s="2" t="n">
        <x:v>3500000000</x:v>
      </x:c>
      <x:c r="AG15" s="2" t="n">
        <x:v>100</x:v>
      </x:c>
      <x:c r="AH15" s="2" t="n">
        <x:v>100.3605998</x:v>
      </x:c>
      <x:c r="AI15" s="2" t="n">
        <x:v>10</x:v>
      </x:c>
      <x:c r="AJ15" s="2" t="n">
        <x:v>100000000</x:v>
      </x:c>
      <x:c r="AK15" s="2" t="n">
        <x:v>2</x:v>
      </x:c>
      <x:c r="AL15" s="2" t="str">
        <x:v>DL|UL|UL|UL|</x:v>
      </x:c>
      <x:c r="AM15" s="2" t="n">
        <x:v>1400</x:v>
      </x:c>
      <x:c r="AN15" s="2" t="n">
        <x:v>1048576</x:v>
      </x:c>
      <x:c r="AO15" s="2" t="n">
        <x:v>42</x:v>
      </x:c>
      <x:c r="AP15" s="2" t="n">
        <x:v>4</x:v>
      </x:c>
      <x:c r="AQ15" s="7" t="n">
        <x:v>155.412096</x:v>
      </x:c>
      <x:c r="AR15" s="7" t="n">
        <x:v>152.3648</x:v>
      </x:c>
      <x:c r="AS15" s="7" t="n">
        <x:v>32.1811224</x:v>
      </x:c>
      <x:c r="AT15" s="7" t="n">
        <x:v>0.089854314</x:v>
      </x:c>
      <x:c r="AU15" s="7" t="n">
        <x:v>0.324980773</x:v>
      </x:c>
      <x:c r="AV15" s="2" t="n">
        <x:v>201535</x:v>
      </x:c>
      <x:c r="AW15" s="2" t="n">
        <x:v>282149000</x:v>
      </x:c>
      <x:c r="AX15" s="2" t="n">
        <x:v>190456000</x:v>
      </x:c>
      <x:c r="AY15" s="2" t="n">
        <x:v>201535</x:v>
      </x:c>
      <x:c r="AZ15" s="2" t="n">
        <x:v>136040</x:v>
      </x:c>
      <x:c r="BA15" s="2" t="n">
        <x:v>194265120</x:v>
      </x:c>
      <x:c r="BB15" s="2" t="n">
        <x:v>65495</x:v>
      </x:c>
      <x:c r="BC15" s="2" t="str">
        <x:v>experiments/execution_220/batch_dataset.csv</x:v>
      </x:c>
    </x:row>
    <x:row r="16" ht="24" customHeight="1">
      <x:c r="A16" s="2" t="str">
        <x:v>success</x:v>
      </x:c>
      <x:c r="B16" s="2" t="n">
        <x:v>3</x:v>
      </x:c>
      <x:c r="C16" s="2" t="str">
        <x:v>traffic_model_OnOffExponential_run_5</x:v>
      </x:c>
      <x:c r="D16" s="2" t="n">
        <x:v>221</x:v>
      </x:c>
      <x:c r="E16" s="2" t="str">
        <x:v>ns3</x:v>
      </x:c>
      <x:c r="F16" s="2" t="str">
        <x:v>experiments/execution_221/experiment_3/config.json</x:v>
      </x:c>
      <x:c r="G16" s="2" t="str">
        <x:v>experiments/execution_221/experiment_3/results.json</x:v>
      </x:c>
      <x:c r="H16" s="2" t="str">
        <x:v>/home/dinos/ns-allinone-3.47/ns-3.47/experiments/execution_221/experiment_3</x:v>
      </x:c>
      <x:c r="I16" s="2" t="str">
        <x:v>OnOffExponential</x:v>
      </x:c>
      <x:c r="J16" s="2" t="str">
        <x:v>dataRate</x:v>
      </x:c>
      <x:c r="K16" s="2" t="n">
        <x:v>100</x:v>
      </x:c>
      <x:c r="L16" s="2" t="n">
        <x:v>100</x:v>
      </x:c>
      <x:c r="M16" s="2" t="n">
        <x:v>400000000</x:v>
      </x:c>
      <x:c r="N16" s="2" t="n">
        <x:v>0.5</x:v>
      </x:c>
      <x:c r="O16" s="2" t="n">
        <x:v>200000000</x:v>
      </x:c>
      <x:c r="P16" s="2" t="n">
        <x:v>200</x:v>
      </x:c>
      <x:c r="Q16" s="7" t="n">
        <x:v>206.18864</x:v>
      </x:c>
      <x:c r="R16" s="2" t="n">
        <x:v>5</x:v>
      </x:c>
      <x:c r="S16" s="2" t="str"/>
      <x:c r="T16" s="2" t="n">
        <x:v>28</x:v>
      </x:c>
      <x:c r="U16" s="2" t="str">
        <x:v>UM</x:v>
      </x:c>
      <x:c r="V16" s="2" t="str">
        <x:v>TdmaRR</x:v>
      </x:c>
      <x:c r="W16" s="3" t="b">
        <x:v>1</x:v>
      </x:c>
      <x:c r="X16" s="2" t="n">
        <x:v>3</x:v>
      </x:c>
      <x:c r="Y16" s="2" t="n">
        <x:v>16</x:v>
      </x:c>
      <x:c r="Z16" s="2" t="str">
        <x:v>Cosine</x:v>
      </x:c>
      <x:c r="AA16" s="2" t="n">
        <x:v>0</x:v>
      </x:c>
      <x:c r="AB16" s="2" t="n">
        <x:v>0</x:v>
      </x:c>
      <x:c r="AC16" s="2" t="n">
        <x:v>120</x:v>
      </x:c>
      <x:c r="AD16" s="2" t="n">
        <x:v>360</x:v>
      </x:c>
      <x:c r="AE16" s="2" t="n">
        <x:v>0</x:v>
      </x:c>
      <x:c r="AF16" s="2" t="n">
        <x:v>3500000000</x:v>
      </x:c>
      <x:c r="AG16" s="2" t="n">
        <x:v>100</x:v>
      </x:c>
      <x:c r="AH16" s="2" t="n">
        <x:v>100.3605998</x:v>
      </x:c>
      <x:c r="AI16" s="2" t="n">
        <x:v>10</x:v>
      </x:c>
      <x:c r="AJ16" s="2" t="n">
        <x:v>100000000</x:v>
      </x:c>
      <x:c r="AK16" s="2" t="n">
        <x:v>2</x:v>
      </x:c>
      <x:c r="AL16" s="2" t="str">
        <x:v>DL|UL|UL|UL|</x:v>
      </x:c>
      <x:c r="AM16" s="2" t="n">
        <x:v>1400</x:v>
      </x:c>
      <x:c r="AN16" s="2" t="n">
        <x:v>1048576</x:v>
      </x:c>
      <x:c r="AO16" s="2" t="n">
        <x:v>42</x:v>
      </x:c>
      <x:c r="AP16" s="2" t="n">
        <x:v>5</x:v>
      </x:c>
      <x:c r="AQ16" s="7" t="n">
        <x:v>152.321904</x:v>
      </x:c>
      <x:c r="AR16" s="7" t="n">
        <x:v>149.3352</x:v>
      </x:c>
      <x:c r="AS16" s="7" t="n">
        <x:v>29.84597883</x:v>
      </x:c>
      <x:c r="AT16" s="7" t="n">
        <x:v>0.089776251</x:v>
      </x:c>
      <x:c r="AU16" s="7" t="n">
        <x:v>0.275735074</x:v>
      </x:c>
      <x:c r="AV16" s="2" t="n">
        <x:v>184097</x:v>
      </x:c>
      <x:c r="AW16" s="2" t="n">
        <x:v>257735800</x:v>
      </x:c>
      <x:c r="AX16" s="2" t="n">
        <x:v>186669000</x:v>
      </x:c>
      <x:c r="AY16" s="2" t="n">
        <x:v>184097</x:v>
      </x:c>
      <x:c r="AZ16" s="2" t="n">
        <x:v>133335</x:v>
      </x:c>
      <x:c r="BA16" s="2" t="n">
        <x:v>190402380</x:v>
      </x:c>
      <x:c r="BB16" s="2" t="n">
        <x:v>50762</x:v>
      </x:c>
      <x:c r="BC16" s="2" t="str">
        <x:v>experiments/execution_221/batch_dataset.csv</x:v>
      </x:c>
    </x:row>
  </x:sheetData>
  <x:pageMargins left="0.7" right="0.7" top="0.75" bottom="0.75" header="0.3" footer="0.3"/>
  <x:tableParts count="1">
    <x:tablePart xmlns:r="http://schemas.openxmlformats.org/officeDocument/2006/relationships" r:id="R149a0b4abbdd4783"/>
  </x:tableParts>
</x:worksheet>
</file>