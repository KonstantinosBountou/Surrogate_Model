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8b5b147f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merology" sheetId="1" r:id="Rb5a2c265cea24f69"/>
    <x:sheet xmlns:r="http://schemas.openxmlformats.org/officeDocument/2006/relationships" name="Raw data" sheetId="2" r:id="Ra64810bf4618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755f9877642a6" /><Relationship Type="http://schemas.openxmlformats.org/officeDocument/2006/relationships/theme" Target="/xl/theme/theme1.xml" Id="Rc81a63b3120745b2" /><Relationship Type="http://schemas.openxmlformats.org/officeDocument/2006/relationships/sharedStrings" Target="/xl/sharedStrings.xml" Id="R9cf9d0b076e245d8" /><Relationship Type="http://schemas.openxmlformats.org/officeDocument/2006/relationships/worksheet" Target="/xl/worksheets/sheet1.xml" Id="Rb5a2c265cea24f69" /><Relationship Type="http://schemas.openxmlformats.org/officeDocument/2006/relationships/worksheet" Target="/xl/worksheets/sheet2.xml" Id="Ra64810bf461843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e0828056e84ddc" /><Relationship Type="http://schemas.openxmlformats.org/officeDocument/2006/relationships/chart" Target="/xl/drawings/charts/chart2.xml" Id="Ra1681f971d584f3e" /><Relationship Type="http://schemas.openxmlformats.org/officeDocument/2006/relationships/chart" Target="/xl/drawings/charts/chart3.xml" Id="R337dd90c927d47fe" /><Relationship Type="http://schemas.openxmlformats.org/officeDocument/2006/relationships/chart" Target="/xl/drawings/charts/chart4.xml" Id="Rc7634615843f42e3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'Numerology'!$G$58:$G$60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plus>
            <c:minus>
              <c:numRef>
                <c:f>'Numerology'!$G$58:$G$60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minus>
          </c:errBars>
          <c:xVal>
            <c:numRef>
              <c:f>'Numerology'!$A$58:$A$60</c:f>
              <c:numCache>
                <c:formatCode>General</c:formatCode>
                <c:ptCount val="0"/>
              </c:numCache>
            </c:numRef>
          </c:xVal>
          <c:yVal>
            <c:numRef>
              <c:f>'Numerology'!$B$58:$B$60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'Numerology'!$H$58:$H$60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plus>
            <c:minus>
              <c:numRef>
                <c:f>'Numerology'!$H$58:$H$60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minus>
          </c:errBars>
          <c:xVal>
            <c:numRef>
              <c:f>'Numerology'!$A$58:$A$60</c:f>
              <c:numCache>
                <c:formatCode>General</c:formatCode>
                <c:ptCount val="0"/>
              </c:numCache>
            </c:numRef>
          </c:xVal>
          <c:yVal>
            <c:numRef>
              <c:f>'Numerology'!$C$58:$C$60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Numerology (mu)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'Numerology'!$I$58:$I$60</c:f>
                <c:numCache>
                  <c:formatCode>0.000000</c:formatCode>
                  <c:ptCount val="3"/>
                  <c:pt idx="0">
                    <c:v>0.04554973815404861</c:v>
                  </c:pt>
                  <c:pt idx="1">
                    <c:v>0.010935898475962307</c:v>
                  </c:pt>
                  <c:pt idx="2">
                    <c:v>0.01610156674564192</c:v>
                  </c:pt>
                </c:numCache>
              </c:numRef>
            </c:plus>
            <c:minus>
              <c:numRef>
                <c:f>'Numerology'!$I$58:$I$60</c:f>
                <c:numCache>
                  <c:formatCode>0.000000</c:formatCode>
                  <c:ptCount val="3"/>
                  <c:pt idx="0">
                    <c:v>0.04554973815404861</c:v>
                  </c:pt>
                  <c:pt idx="1">
                    <c:v>0.010935898475962307</c:v>
                  </c:pt>
                  <c:pt idx="2">
                    <c:v>0.01610156674564192</c:v>
                  </c:pt>
                </c:numCache>
              </c:numRef>
            </c:minus>
          </c:errBars>
          <c:xVal>
            <c:numRef>
              <c:f>'Numerology'!$A$58:$A$60</c:f>
              <c:numCache>
                <c:formatCode>General</c:formatCode>
                <c:ptCount val="0"/>
              </c:numCache>
            </c:numRef>
          </c:xVal>
          <c:yVal>
            <c:numRef>
              <c:f>'Numerology'!$D$58:$D$60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Numerology (mu)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'Numerology'!$K$58:$K$60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plus>
            <c:minus>
              <c:numRef>
                <c:f>'Numerology'!$K$58:$K$60</c:f>
                <c:numCache>
                  <c:formatCode>0.000000</c:formatCode>
                  <c:ptCount val="3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</c:numCache>
              </c:numRef>
            </c:minus>
          </c:errBars>
          <c:xVal>
            <c:numRef>
              <c:f>'Numerology'!$A$58:$A$60</c:f>
              <c:numCache>
                <c:formatCode>General</c:formatCode>
                <c:ptCount val="0"/>
              </c:numCache>
            </c:numRef>
          </c:xVal>
          <c:yVal>
            <c:numRef>
              <c:f>'Numerology'!$F$58:$F$60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Numerology (mu)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'Numerology'!$J$58:$J$60</c:f>
                <c:numCache>
                  <c:formatCode>0.000000</c:formatCode>
                  <c:ptCount val="3"/>
                  <c:pt idx="0">
                    <c:v>2.802771844620757e-05</c:v>
                  </c:pt>
                  <c:pt idx="1">
                    <c:v>2.3983124268952513e-05</c:v>
                  </c:pt>
                  <c:pt idx="2">
                    <c:v>7.04887059946503e-05</c:v>
                  </c:pt>
                </c:numCache>
              </c:numRef>
            </c:plus>
            <c:minus>
              <c:numRef>
                <c:f>'Numerology'!$J$58:$J$60</c:f>
                <c:numCache>
                  <c:formatCode>0.000000</c:formatCode>
                  <c:ptCount val="3"/>
                  <c:pt idx="0">
                    <c:v>2.802771844620757e-05</c:v>
                  </c:pt>
                  <c:pt idx="1">
                    <c:v>2.3983124268952513e-05</c:v>
                  </c:pt>
                  <c:pt idx="2">
                    <c:v>7.04887059946503e-05</c:v>
                  </c:pt>
                </c:numCache>
              </c:numRef>
            </c:minus>
          </c:errBars>
          <c:xVal>
            <c:numRef>
              <c:f>'Numerology'!$A$58:$A$60</c:f>
              <c:numCache>
                <c:formatCode>General</c:formatCode>
                <c:ptCount val="0"/>
              </c:numCache>
            </c:numRef>
          </c:xVal>
          <c:yVal>
            <c:numRef>
              <c:f>'Numerology'!$E$58:$E$60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Numerology (mu)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e0828056e84ddc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81f971d584f3e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7dd90c927d47fe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634615843f42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0cc810acfb45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Numerology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200 Mbps; bandwidth 100 MHz; UE power 10 dBm; distance 100 m; TDD DL|UL|UL|UL|UL|.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1400 B; RLC buffer 1 MiB;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All 178571 transmitted packets were received in every run. No extended-drain test was needed.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Numerology (mu)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0</x:v>
      </x:c>
      <x:c r="B58" s="6" t="n">
        <x:f>AVERAGE('Raw data'!R4,'Raw data'!R7,'Raw data'!R10,'Raw data'!R13,'Raw data'!R16)</x:f>
        <x:v>203.9995104</x:v>
      </x:c>
      <x:c r="C58" s="6" t="n">
        <x:f>AVERAGE('Raw data'!S4,'Raw data'!S7,'Raw data'!S10,'Raw data'!S13,'Raw data'!S16)</x:f>
        <x:v>199.99952</x:v>
      </x:c>
      <x:c r="D58" s="6" t="n">
        <x:f>AVERAGE('Raw data'!T4,'Raw data'!T7,'Raw data'!T10,'Raw data'!T13,'Raw data'!T16)</x:f>
        <x:v>13.003293818</x:v>
      </x:c>
      <x:c r="E58" s="6" t="n">
        <x:f>AVERAGE('Raw data'!U4,'Raw data'!U7,'Raw data'!U10,'Raw data'!U13,'Raw data'!U16)</x:f>
        <x:v>0.1072958736</x:v>
      </x:c>
      <x:c r="F58" s="7" t="n">
        <x:f>AVERAGE('Raw data'!V4,'Raw data'!V7,'Raw data'!V10,'Raw data'!V13,'Raw data'!V16)*100</x:f>
        <x:v>0</x:v>
      </x:c>
      <x:c r="G58" s="6" t="n">
        <x:f>STDEV('Raw data'!R4,'Raw data'!R7,'Raw data'!R10,'Raw data'!R13,'Raw data'!R16)</x:f>
        <x:v>0</x:v>
      </x:c>
      <x:c r="H58" s="6" t="n">
        <x:f>STDEV('Raw data'!S4,'Raw data'!S7,'Raw data'!S10,'Raw data'!S13,'Raw data'!S16)</x:f>
        <x:v>0</x:v>
      </x:c>
      <x:c r="I58" s="6" t="n">
        <x:f>STDEV('Raw data'!T4,'Raw data'!T7,'Raw data'!T10,'Raw data'!T13,'Raw data'!T16)</x:f>
        <x:v>0.045549738154048613</x:v>
      </x:c>
      <x:c r="J58" s="6" t="n">
        <x:f>STDEV('Raw data'!U4,'Raw data'!U7,'Raw data'!U10,'Raw data'!U13,'Raw data'!U16)</x:f>
        <x:v>0.000028027718446207573</x:v>
      </x:c>
      <x:c r="K58" s="6" t="n">
        <x:f>STDEV('Raw data'!V4,'Raw data'!V7,'Raw data'!V10,'Raw data'!V13,'Raw data'!V16)*100</x:f>
        <x:v>0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1</x:v>
      </x:c>
      <x:c r="B59" s="6" t="n">
        <x:f>AVERAGE('Raw data'!R5,'Raw data'!R8,'Raw data'!R11,'Raw data'!R14,'Raw data'!R17)</x:f>
        <x:v>203.9995104</x:v>
      </x:c>
      <x:c r="C59" s="6" t="n">
        <x:f>AVERAGE('Raw data'!S5,'Raw data'!S8,'Raw data'!S11,'Raw data'!S14,'Raw data'!S17)</x:f>
        <x:v>199.99952</x:v>
      </x:c>
      <x:c r="D59" s="6" t="n">
        <x:f>AVERAGE('Raw data'!T5,'Raw data'!T8,'Raw data'!T11,'Raw data'!T14,'Raw data'!T17)</x:f>
        <x:v>7.0479342978</x:v>
      </x:c>
      <x:c r="E59" s="6" t="n">
        <x:f>AVERAGE('Raw data'!U5,'Raw data'!U8,'Raw data'!U11,'Raw data'!U14,'Raw data'!U17)</x:f>
        <x:v>0.10486993020000002</x:v>
      </x:c>
      <x:c r="F59" s="7" t="n">
        <x:f>AVERAGE('Raw data'!V5,'Raw data'!V8,'Raw data'!V11,'Raw data'!V14,'Raw data'!V17)*100</x:f>
        <x:v>0</x:v>
      </x:c>
      <x:c r="G59" s="6" t="n">
        <x:f>STDEV('Raw data'!R5,'Raw data'!R8,'Raw data'!R11,'Raw data'!R14,'Raw data'!R17)</x:f>
        <x:v>0</x:v>
      </x:c>
      <x:c r="H59" s="6" t="n">
        <x:f>STDEV('Raw data'!S5,'Raw data'!S8,'Raw data'!S11,'Raw data'!S14,'Raw data'!S17)</x:f>
        <x:v>0</x:v>
      </x:c>
      <x:c r="I59" s="6" t="n">
        <x:f>STDEV('Raw data'!T5,'Raw data'!T8,'Raw data'!T11,'Raw data'!T14,'Raw data'!T17)</x:f>
        <x:v>0.010935898475962307</x:v>
      </x:c>
      <x:c r="J59" s="6" t="n">
        <x:f>STDEV('Raw data'!U5,'Raw data'!U8,'Raw data'!U11,'Raw data'!U14,'Raw data'!U17)</x:f>
        <x:v>0.000023983124268952513</x:v>
      </x:c>
      <x:c r="K59" s="6" t="n">
        <x:f>STDEV('Raw data'!V5,'Raw data'!V8,'Raw data'!V11,'Raw data'!V14,'Raw data'!V17)*100</x:f>
        <x:v>0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2</x:v>
      </x:c>
      <x:c r="B60" s="6" t="n">
        <x:f>AVERAGE('Raw data'!R6,'Raw data'!R9,'Raw data'!R12,'Raw data'!R15,'Raw data'!R18)</x:f>
        <x:v>203.9995104</x:v>
      </x:c>
      <x:c r="C60" s="6" t="n">
        <x:f>AVERAGE('Raw data'!S6,'Raw data'!S9,'Raw data'!S12,'Raw data'!S15,'Raw data'!S18)</x:f>
        <x:v>199.99952</x:v>
      </x:c>
      <x:c r="D60" s="6" t="n">
        <x:f>AVERAGE('Raw data'!T6,'Raw data'!T9,'Raw data'!T12,'Raw data'!T15,'Raw data'!T18)</x:f>
        <x:v>4.0977762638</x:v>
      </x:c>
      <x:c r="E60" s="6" t="n">
        <x:f>AVERAGE('Raw data'!U6,'Raw data'!U9,'Raw data'!U12,'Raw data'!U15,'Raw data'!U18)</x:f>
        <x:v>0.1005520526</x:v>
      </x:c>
      <x:c r="F60" s="7" t="n">
        <x:f>AVERAGE('Raw data'!V6,'Raw data'!V9,'Raw data'!V12,'Raw data'!V15,'Raw data'!V18)*100</x:f>
        <x:v>0</x:v>
      </x:c>
      <x:c r="G60" s="6" t="n">
        <x:f>STDEV('Raw data'!R6,'Raw data'!R9,'Raw data'!R12,'Raw data'!R15,'Raw data'!R18)</x:f>
        <x:v>0</x:v>
      </x:c>
      <x:c r="H60" s="6" t="n">
        <x:f>STDEV('Raw data'!S6,'Raw data'!S9,'Raw data'!S12,'Raw data'!S15,'Raw data'!S18)</x:f>
        <x:v>0</x:v>
      </x:c>
      <x:c r="I60" s="6" t="n">
        <x:f>STDEV('Raw data'!T6,'Raw data'!T9,'Raw data'!T12,'Raw data'!T15,'Raw data'!T18)</x:f>
        <x:v>0.016101566745641924</x:v>
      </x:c>
      <x:c r="J60" s="6" t="n">
        <x:f>STDEV('Raw data'!U6,'Raw data'!U9,'Raw data'!U12,'Raw data'!U15,'Raw data'!U18)</x:f>
        <x:v>0.0000704887059946503</x:v>
      </x:c>
      <x:c r="K60" s="6" t="n">
        <x:f>STDEV('Raw data'!V6,'Raw data'!V9,'Raw data'!V12,'Raw data'!V15,'Raw data'!V18)*100</x:f>
        <x:v>0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All three numerologies deliver the offered 200 Mbps with zero packet loss.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Mean delay decreases as numerology increases. The throughput plateau is limited by offered load.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The TDD pattern differs from earlier parameter sweeps. See the TDD notes below.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8" t="str">
        <x:v>TDD pattern error and workaround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 t="str">
        <x:v>Execution 72, mu=0, DL|UL|UL|UL|: simulation aborted at 1.025 s with SIGABRT.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 t="str">
        <x:v>Assertion: symUsed == allocInfo.m_numSymAlloc; Allocated 15 but only 2 written in stats.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 t="str">
        <x:v>The log shows QueueSib immediately before an UL slot. The installed NrGnbPhy code adds DL control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 t="str">
        <x:v>for MIB/SIB at slot 0 of subframes 0 and 5, even when the slot has an UL allocation.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 t="str">
        <x:v>This explains the conflicting allocation for this configuration. The assertion was not disabled.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  <x:row r="76">
      <x:c r="A76" t="str">
        <x:v>Workaround: change the pattern to DL|UL|UL|UL|UL| for every tested numerology (0, 1, 2).</x:v>
      </x:c>
    </x:row>
    <x:row r="77">
      <x:c r="A77" t="str">
        <x:v>With mu=0, its DL slots align with the 5 ms MIB/SIB occasions in this implementation.</x:v>
      </x:c>
    </x:row>
    <x:row r="78">
      <x:c r="A78" t="str">
        <x:v>The diagnostic mu=0 run completed with goodput 199.99952 Mbps. Executions 73–77 then completed</x:v>
      </x:c>
    </x:row>
    <x:row r="79">
      <x:c r="A79" t="str">
        <x:v>all 15 experiments. Create configuration, Prepare dataset row and Merge CSV checks use the new pattern.</x:v>
      </x:c>
    </x:row>
    <x:row r="80">
      <x:c r="A80" t="str">
        <x:v>This is a configuration workaround; no simulator source patch was made for this TDD error.</x:v>
      </x:c>
    </x:row>
    <x:row r="81">
      <x:c r="A81" t="str">
        <x:v>UL slot share changed from 3/4 (75%) to 4/5 (80%). These results form a separate comparison series.</x:v>
      </x:c>
    </x:row>
    <x:row r="82">
      <x:c r="A82" t="str">
        <x:v>The five-slot cycle lasts 5, 2.5 and 1.25 ms at mu=0, 1 and 2, respectively.</x:v>
      </x:c>
    </x:row>
    <x:row r="83">
      <x:c r="A83" t="str">
        <x:v>The comparison holds the slot sequence fixed, not the absolute duration of the TDD cycle.</x:v>
      </x:c>
    </x:row>
    <x:row r="84">
      <x:c r="A84" t="str">
        <x:v>100 MHz with mu=0 is a simulator configuration, not a claim of a standardized NR deployment.</x:v>
      </x:c>
    </x:row>
    <x:row r="85">
      <x:c r="A85" t="str">
        <x:v>Evidence: execution_72/experiment_1 debug.log, config_pattern5_test.json and results_pattern5_test.json;</x:v>
      </x:c>
    </x:row>
    <x:row r="86">
      <x:c r="A86" t="str">
        <x:v>installed contrib/nr/model/nr-gnb-phy.cc (StartSlot and GenerateAllocationStatistics); executions 73–77.</x:v>
      </x:c>
    </x:row>
  </x:sheetData>
  <x:pageMargins left="0.7" right="0.7" top="0.75" bottom="0.75" header="0.3" footer="0.3"/>
  <x:drawing xmlns:r="http://schemas.openxmlformats.org/officeDocument/2006/relationships" r:id="Ra90cc810acfb455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73–77 (runs 1–5, drain 2 s).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experiment_id</x:v>
      </x:c>
      <x:c r="B3" s="4" t="str">
        <x:v>n8n_execution_id</x:v>
      </x:c>
      <x:c r="C3" s="4" t="str">
        <x:v>data_source</x:v>
      </x:c>
      <x:c r="D3" s="4" t="str">
        <x:v>config_path</x:v>
      </x:c>
      <x:c r="E3" s="4" t="str">
        <x:v>results_path</x:v>
      </x:c>
      <x:c r="F3" s="4" t="str">
        <x:v>experiment_dir</x:v>
      </x:c>
      <x:c r="G3" s="4" t="str">
        <x:v>ue_distance_2d_m</x:v>
      </x:c>
      <x:c r="H3" s="4" t="str">
        <x:v>ue_distance_3d_m</x:v>
      </x:c>
      <x:c r="I3" s="4" t="str">
        <x:v>ue_tx_power_dbm</x:v>
      </x:c>
      <x:c r="J3" s="4" t="str">
        <x:v>offered_load_mbps</x:v>
      </x:c>
      <x:c r="K3" s="4" t="str">
        <x:v>bandwidth_hz</x:v>
      </x:c>
      <x:c r="L3" s="4" t="str">
        <x:v>numerology</x:v>
      </x:c>
      <x:c r="M3" s="4" t="str">
        <x:v>tdd_pattern</x:v>
      </x:c>
      <x:c r="N3" s="4" t="str">
        <x:v>packet_size_bytes</x:v>
      </x:c>
      <x:c r="O3" s="4" t="str">
        <x:v>rlc_buffer_size_bytes</x:v>
      </x:c>
      <x:c r="P3" s="4" t="str">
        <x:v>rng_seed</x:v>
      </x:c>
      <x:c r="Q3" s="4" t="str">
        <x:v>rng_run</x:v>
      </x:c>
      <x:c r="R3" s="4" t="str">
        <x:v>throughput_mbps</x:v>
      </x:c>
      <x:c r="S3" s="4" t="str">
        <x:v>app_goodput_mbps</x:v>
      </x:c>
      <x:c r="T3" s="4" t="str">
        <x:v>end_to_end_delay_ms</x:v>
      </x:c>
      <x:c r="U3" s="4" t="str">
        <x:v>jitter_ms</x:v>
      </x:c>
      <x:c r="V3" s="4" t="str">
        <x:v>loss_fraction</x:v>
      </x:c>
      <x:c r="W3" s="4" t="str">
        <x:v>tx_packets</x:v>
      </x:c>
      <x:c r="X3" s="4" t="str">
        <x:v>rx_packets</x:v>
      </x:c>
      <x:c r="Y3" s="4" t="str">
        <x:v>ip_rx_bytes</x:v>
      </x:c>
      <x:c r="Z3" s="4" t="str">
        <x:v>unreceived_packets_after_drain</x:v>
      </x:c>
      <x:c r="AA3" s="4" t="str">
        <x:v>source_execution</x:v>
      </x:c>
      <x:c r="AB3" s="4" t="str">
        <x:v>drain_time_s</x:v>
      </x:c>
    </x:row>
    <x:row r="4" ht="21" customHeight="1">
      <x:c r="A4" s="1" t="str">
        <x:v>numerology_0_run_1</x:v>
      </x:c>
      <x:c r="B4" s="1" t="n">
        <x:v>73</x:v>
      </x:c>
      <x:c r="C4" s="1" t="str">
        <x:v>ns3</x:v>
      </x:c>
      <x:c r="D4" s="1" t="str">
        <x:v>experiments/execution_73/experiment_1/config.json</x:v>
      </x:c>
      <x:c r="E4" s="1" t="str">
        <x:v>experiments/execution_73/experiment_1/results.json</x:v>
      </x:c>
      <x:c r="F4" s="1" t="str">
        <x:v>/home/dinos/ns-allinone-3.47/ns-3.47/experiments/execution_73/experiment_1</x:v>
      </x:c>
      <x:c r="G4" s="1" t="n">
        <x:v>100</x:v>
      </x:c>
      <x:c r="H4" s="1" t="n">
        <x:v>100.3605998</x:v>
      </x:c>
      <x:c r="I4" s="1" t="n">
        <x:v>10</x:v>
      </x:c>
      <x:c r="J4" s="1" t="n">
        <x:v>200</x:v>
      </x:c>
      <x:c r="K4" s="1" t="n">
        <x:v>100000000</x:v>
      </x:c>
      <x:c r="L4" s="1" t="n">
        <x:v>0</x:v>
      </x:c>
      <x:c r="M4" s="1" t="str">
        <x:v>DL|UL|UL|UL|UL|</x:v>
      </x:c>
      <x:c r="N4" s="1" t="n">
        <x:v>1400</x:v>
      </x:c>
      <x:c r="O4" s="1" t="n">
        <x:v>1048576</x:v>
      </x:c>
      <x:c r="P4" s="1" t="n">
        <x:v>42</x:v>
      </x:c>
      <x:c r="Q4" s="1" t="n">
        <x:v>1</x:v>
      </x:c>
      <x:c r="R4" s="1" t="n">
        <x:v>203.9995104</x:v>
      </x:c>
      <x:c r="S4" s="1" t="n">
        <x:v>199.99952</x:v>
      </x:c>
      <x:c r="T4" s="1" t="n">
        <x:v>13.03698513</x:v>
      </x:c>
      <x:c r="U4" s="1" t="n">
        <x:v>0.107275637</x:v>
      </x:c>
      <x:c r="V4" s="1" t="n">
        <x:v>0</x:v>
      </x:c>
      <x:c r="W4" s="1" t="n">
        <x:v>178571</x:v>
      </x:c>
      <x:c r="X4" s="1" t="n">
        <x:v>178571</x:v>
      </x:c>
      <x:c r="Y4" s="1" t="n">
        <x:v>254999388</x:v>
      </x:c>
      <x:c r="Z4" s="1" t="n">
        <x:v>0</x:v>
      </x:c>
      <x:c r="AA4" s="1" t="n">
        <x:v>73</x:v>
      </x:c>
      <x:c r="AB4" s="1" t="n">
        <x:v>2</x:v>
      </x:c>
    </x:row>
    <x:row r="5" ht="21" customHeight="1">
      <x:c r="A5" s="1" t="str">
        <x:v>numerology_1_run_1</x:v>
      </x:c>
      <x:c r="B5" s="1" t="n">
        <x:v>73</x:v>
      </x:c>
      <x:c r="C5" s="1" t="str">
        <x:v>ns3</x:v>
      </x:c>
      <x:c r="D5" s="1" t="str">
        <x:v>experiments/execution_73/experiment_2/config.json</x:v>
      </x:c>
      <x:c r="E5" s="1" t="str">
        <x:v>experiments/execution_73/experiment_2/results.json</x:v>
      </x:c>
      <x:c r="F5" s="1" t="str">
        <x:v>/home/dinos/ns-allinone-3.47/ns-3.47/experiments/execution_73/experiment_2</x:v>
      </x:c>
      <x:c r="G5" s="1" t="n">
        <x:v>100</x:v>
      </x:c>
      <x:c r="H5" s="1" t="n">
        <x:v>100.3605998</x:v>
      </x:c>
      <x:c r="I5" s="1" t="n">
        <x:v>10</x:v>
      </x:c>
      <x:c r="J5" s="1" t="n">
        <x:v>200</x:v>
      </x:c>
      <x:c r="K5" s="1" t="n">
        <x:v>100000000</x:v>
      </x:c>
      <x:c r="L5" s="1" t="n">
        <x:v>1</x:v>
      </x:c>
      <x:c r="M5" s="1" t="str">
        <x:v>DL|UL|UL|UL|UL|</x:v>
      </x:c>
      <x:c r="N5" s="1" t="n">
        <x:v>1400</x:v>
      </x:c>
      <x:c r="O5" s="1" t="n">
        <x:v>1048576</x:v>
      </x:c>
      <x:c r="P5" s="1" t="n">
        <x:v>42</x:v>
      </x:c>
      <x:c r="Q5" s="1" t="n">
        <x:v>1</x:v>
      </x:c>
      <x:c r="R5" s="1" t="n">
        <x:v>203.9995104</x:v>
      </x:c>
      <x:c r="S5" s="1" t="n">
        <x:v>199.99952</x:v>
      </x:c>
      <x:c r="T5" s="1" t="n">
        <x:v>7.044113274</x:v>
      </x:c>
      <x:c r="U5" s="1" t="n">
        <x:v>0.104862389</x:v>
      </x:c>
      <x:c r="V5" s="1" t="n">
        <x:v>0</x:v>
      </x:c>
      <x:c r="W5" s="1" t="n">
        <x:v>178571</x:v>
      </x:c>
      <x:c r="X5" s="1" t="n">
        <x:v>178571</x:v>
      </x:c>
      <x:c r="Y5" s="1" t="n">
        <x:v>254999388</x:v>
      </x:c>
      <x:c r="Z5" s="1" t="n">
        <x:v>0</x:v>
      </x:c>
      <x:c r="AA5" s="1" t="n">
        <x:v>73</x:v>
      </x:c>
      <x:c r="AB5" s="1" t="n">
        <x:v>2</x:v>
      </x:c>
    </x:row>
    <x:row r="6" ht="21" customHeight="1">
      <x:c r="A6" s="1" t="str">
        <x:v>numerology_2_run_1</x:v>
      </x:c>
      <x:c r="B6" s="1" t="n">
        <x:v>73</x:v>
      </x:c>
      <x:c r="C6" s="1" t="str">
        <x:v>ns3</x:v>
      </x:c>
      <x:c r="D6" s="1" t="str">
        <x:v>experiments/execution_73/experiment_3/config.json</x:v>
      </x:c>
      <x:c r="E6" s="1" t="str">
        <x:v>experiments/execution_73/experiment_3/results.json</x:v>
      </x:c>
      <x:c r="F6" s="1" t="str">
        <x:v>/home/dinos/ns-allinone-3.47/ns-3.47/experiments/execution_73/experiment_3</x:v>
      </x:c>
      <x:c r="G6" s="1" t="n">
        <x:v>100</x:v>
      </x:c>
      <x:c r="H6" s="1" t="n">
        <x:v>100.3605998</x:v>
      </x:c>
      <x:c r="I6" s="1" t="n">
        <x:v>10</x:v>
      </x:c>
      <x:c r="J6" s="1" t="n">
        <x:v>200</x:v>
      </x:c>
      <x:c r="K6" s="1" t="n">
        <x:v>100000000</x:v>
      </x:c>
      <x:c r="L6" s="1" t="n">
        <x:v>2</x:v>
      </x:c>
      <x:c r="M6" s="1" t="str">
        <x:v>DL|UL|UL|UL|UL|</x:v>
      </x:c>
      <x:c r="N6" s="1" t="n">
        <x:v>1400</x:v>
      </x:c>
      <x:c r="O6" s="1" t="n">
        <x:v>1048576</x:v>
      </x:c>
      <x:c r="P6" s="1" t="n">
        <x:v>42</x:v>
      </x:c>
      <x:c r="Q6" s="1" t="n">
        <x:v>1</x:v>
      </x:c>
      <x:c r="R6" s="1" t="n">
        <x:v>203.9995104</x:v>
      </x:c>
      <x:c r="S6" s="1" t="n">
        <x:v>199.99952</x:v>
      </x:c>
      <x:c r="T6" s="1" t="n">
        <x:v>4.079176053</x:v>
      </x:c>
      <x:c r="U6" s="1" t="n">
        <x:v>0.100460313</x:v>
      </x:c>
      <x:c r="V6" s="1" t="n">
        <x:v>0</x:v>
      </x:c>
      <x:c r="W6" s="1" t="n">
        <x:v>178571</x:v>
      </x:c>
      <x:c r="X6" s="1" t="n">
        <x:v>178571</x:v>
      </x:c>
      <x:c r="Y6" s="1" t="n">
        <x:v>254999388</x:v>
      </x:c>
      <x:c r="Z6" s="1" t="n">
        <x:v>0</x:v>
      </x:c>
      <x:c r="AA6" s="1" t="n">
        <x:v>73</x:v>
      </x:c>
      <x:c r="AB6" s="1" t="n">
        <x:v>2</x:v>
      </x:c>
    </x:row>
    <x:row r="7" ht="21" customHeight="1">
      <x:c r="A7" s="1" t="str">
        <x:v>numerology_0_run_2</x:v>
      </x:c>
      <x:c r="B7" s="1" t="n">
        <x:v>74</x:v>
      </x:c>
      <x:c r="C7" s="1" t="str">
        <x:v>ns3</x:v>
      </x:c>
      <x:c r="D7" s="1" t="str">
        <x:v>experiments/execution_74/experiment_1/config.json</x:v>
      </x:c>
      <x:c r="E7" s="1" t="str">
        <x:v>experiments/execution_74/experiment_1/results.json</x:v>
      </x:c>
      <x:c r="F7" s="1" t="str">
        <x:v>/home/dinos/ns-allinone-3.47/ns-3.47/experiments/execution_74/experiment_1</x:v>
      </x:c>
      <x:c r="G7" s="1" t="n">
        <x:v>100</x:v>
      </x:c>
      <x:c r="H7" s="1" t="n">
        <x:v>100.3605998</x:v>
      </x:c>
      <x:c r="I7" s="1" t="n">
        <x:v>10</x:v>
      </x:c>
      <x:c r="J7" s="1" t="n">
        <x:v>200</x:v>
      </x:c>
      <x:c r="K7" s="1" t="n">
        <x:v>100000000</x:v>
      </x:c>
      <x:c r="L7" s="1" t="n">
        <x:v>0</x:v>
      </x:c>
      <x:c r="M7" s="1" t="str">
        <x:v>DL|UL|UL|UL|UL|</x:v>
      </x:c>
      <x:c r="N7" s="1" t="n">
        <x:v>1400</x:v>
      </x:c>
      <x:c r="O7" s="1" t="n">
        <x:v>1048576</x:v>
      </x:c>
      <x:c r="P7" s="1" t="n">
        <x:v>42</x:v>
      </x:c>
      <x:c r="Q7" s="1" t="n">
        <x:v>2</x:v>
      </x:c>
      <x:c r="R7" s="1" t="n">
        <x:v>203.9995104</x:v>
      </x:c>
      <x:c r="S7" s="1" t="n">
        <x:v>199.99952</x:v>
      </x:c>
      <x:c r="T7" s="1" t="n">
        <x:v>12.94394566</x:v>
      </x:c>
      <x:c r="U7" s="1" t="n">
        <x:v>0.107281479</x:v>
      </x:c>
      <x:c r="V7" s="1" t="n">
        <x:v>0</x:v>
      </x:c>
      <x:c r="W7" s="1" t="n">
        <x:v>178571</x:v>
      </x:c>
      <x:c r="X7" s="1" t="n">
        <x:v>178571</x:v>
      </x:c>
      <x:c r="Y7" s="1" t="n">
        <x:v>254999388</x:v>
      </x:c>
      <x:c r="Z7" s="1" t="n">
        <x:v>0</x:v>
      </x:c>
      <x:c r="AA7" s="1" t="n">
        <x:v>74</x:v>
      </x:c>
      <x:c r="AB7" s="1" t="n">
        <x:v>2</x:v>
      </x:c>
    </x:row>
    <x:row r="8" ht="21" customHeight="1">
      <x:c r="A8" s="1" t="str">
        <x:v>numerology_1_run_2</x:v>
      </x:c>
      <x:c r="B8" s="1" t="n">
        <x:v>74</x:v>
      </x:c>
      <x:c r="C8" s="1" t="str">
        <x:v>ns3</x:v>
      </x:c>
      <x:c r="D8" s="1" t="str">
        <x:v>experiments/execution_74/experiment_2/config.json</x:v>
      </x:c>
      <x:c r="E8" s="1" t="str">
        <x:v>experiments/execution_74/experiment_2/results.json</x:v>
      </x:c>
      <x:c r="F8" s="1" t="str">
        <x:v>/home/dinos/ns-allinone-3.47/ns-3.47/experiments/execution_74/experiment_2</x:v>
      </x:c>
      <x:c r="G8" s="1" t="n">
        <x:v>100</x:v>
      </x:c>
      <x:c r="H8" s="1" t="n">
        <x:v>100.3605998</x:v>
      </x:c>
      <x:c r="I8" s="1" t="n">
        <x:v>10</x:v>
      </x:c>
      <x:c r="J8" s="1" t="n">
        <x:v>200</x:v>
      </x:c>
      <x:c r="K8" s="1" t="n">
        <x:v>100000000</x:v>
      </x:c>
      <x:c r="L8" s="1" t="n">
        <x:v>1</x:v>
      </x:c>
      <x:c r="M8" s="1" t="str">
        <x:v>DL|UL|UL|UL|UL|</x:v>
      </x:c>
      <x:c r="N8" s="1" t="n">
        <x:v>1400</x:v>
      </x:c>
      <x:c r="O8" s="1" t="n">
        <x:v>1048576</x:v>
      </x:c>
      <x:c r="P8" s="1" t="n">
        <x:v>42</x:v>
      </x:c>
      <x:c r="Q8" s="1" t="n">
        <x:v>2</x:v>
      </x:c>
      <x:c r="R8" s="1" t="n">
        <x:v>203.9995104</x:v>
      </x:c>
      <x:c r="S8" s="1" t="n">
        <x:v>199.99952</x:v>
      </x:c>
      <x:c r="T8" s="1" t="n">
        <x:v>7.049762505</x:v>
      </x:c>
      <x:c r="U8" s="1" t="n">
        <x:v>0.104861758</x:v>
      </x:c>
      <x:c r="V8" s="1" t="n">
        <x:v>0</x:v>
      </x:c>
      <x:c r="W8" s="1" t="n">
        <x:v>178571</x:v>
      </x:c>
      <x:c r="X8" s="1" t="n">
        <x:v>178571</x:v>
      </x:c>
      <x:c r="Y8" s="1" t="n">
        <x:v>254999388</x:v>
      </x:c>
      <x:c r="Z8" s="1" t="n">
        <x:v>0</x:v>
      </x:c>
      <x:c r="AA8" s="1" t="n">
        <x:v>74</x:v>
      </x:c>
      <x:c r="AB8" s="1" t="n">
        <x:v>2</x:v>
      </x:c>
    </x:row>
    <x:row r="9" ht="21" customHeight="1">
      <x:c r="A9" s="1" t="str">
        <x:v>numerology_2_run_2</x:v>
      </x:c>
      <x:c r="B9" s="1" t="n">
        <x:v>74</x:v>
      </x:c>
      <x:c r="C9" s="1" t="str">
        <x:v>ns3</x:v>
      </x:c>
      <x:c r="D9" s="1" t="str">
        <x:v>experiments/execution_74/experiment_3/config.json</x:v>
      </x:c>
      <x:c r="E9" s="1" t="str">
        <x:v>experiments/execution_74/experiment_3/results.json</x:v>
      </x:c>
      <x:c r="F9" s="1" t="str">
        <x:v>/home/dinos/ns-allinone-3.47/ns-3.47/experiments/execution_74/experiment_3</x:v>
      </x:c>
      <x:c r="G9" s="1" t="n">
        <x:v>100</x:v>
      </x:c>
      <x:c r="H9" s="1" t="n">
        <x:v>100.3605998</x:v>
      </x:c>
      <x:c r="I9" s="1" t="n">
        <x:v>10</x:v>
      </x:c>
      <x:c r="J9" s="1" t="n">
        <x:v>200</x:v>
      </x:c>
      <x:c r="K9" s="1" t="n">
        <x:v>100000000</x:v>
      </x:c>
      <x:c r="L9" s="1" t="n">
        <x:v>2</x:v>
      </x:c>
      <x:c r="M9" s="1" t="str">
        <x:v>DL|UL|UL|UL|UL|</x:v>
      </x:c>
      <x:c r="N9" s="1" t="n">
        <x:v>1400</x:v>
      </x:c>
      <x:c r="O9" s="1" t="n">
        <x:v>1048576</x:v>
      </x:c>
      <x:c r="P9" s="1" t="n">
        <x:v>42</x:v>
      </x:c>
      <x:c r="Q9" s="1" t="n">
        <x:v>2</x:v>
      </x:c>
      <x:c r="R9" s="1" t="n">
        <x:v>203.9995104</x:v>
      </x:c>
      <x:c r="S9" s="1" t="n">
        <x:v>199.99952</x:v>
      </x:c>
      <x:c r="T9" s="1" t="n">
        <x:v>4.092377782</x:v>
      </x:c>
      <x:c r="U9" s="1" t="n">
        <x:v>0.100577924</x:v>
      </x:c>
      <x:c r="V9" s="1" t="n">
        <x:v>0</x:v>
      </x:c>
      <x:c r="W9" s="1" t="n">
        <x:v>178571</x:v>
      </x:c>
      <x:c r="X9" s="1" t="n">
        <x:v>178571</x:v>
      </x:c>
      <x:c r="Y9" s="1" t="n">
        <x:v>254999388</x:v>
      </x:c>
      <x:c r="Z9" s="1" t="n">
        <x:v>0</x:v>
      </x:c>
      <x:c r="AA9" s="1" t="n">
        <x:v>74</x:v>
      </x:c>
      <x:c r="AB9" s="1" t="n">
        <x:v>2</x:v>
      </x:c>
    </x:row>
    <x:row r="10" ht="21" customHeight="1">
      <x:c r="A10" s="1" t="str">
        <x:v>numerology_0_run_3</x:v>
      </x:c>
      <x:c r="B10" s="1" t="n">
        <x:v>75</x:v>
      </x:c>
      <x:c r="C10" s="1" t="str">
        <x:v>ns3</x:v>
      </x:c>
      <x:c r="D10" s="1" t="str">
        <x:v>experiments/execution_75/experiment_1/config.json</x:v>
      </x:c>
      <x:c r="E10" s="1" t="str">
        <x:v>experiments/execution_75/experiment_1/results.json</x:v>
      </x:c>
      <x:c r="F10" s="1" t="str">
        <x:v>/home/dinos/ns-allinone-3.47/ns-3.47/experiments/execution_75/experiment_1</x:v>
      </x:c>
      <x:c r="G10" s="1" t="n">
        <x:v>100</x:v>
      </x:c>
      <x:c r="H10" s="1" t="n">
        <x:v>100.3605998</x:v>
      </x:c>
      <x:c r="I10" s="1" t="n">
        <x:v>10</x:v>
      </x:c>
      <x:c r="J10" s="1" t="n">
        <x:v>200</x:v>
      </x:c>
      <x:c r="K10" s="1" t="n">
        <x:v>100000000</x:v>
      </x:c>
      <x:c r="L10" s="1" t="n">
        <x:v>0</x:v>
      </x:c>
      <x:c r="M10" s="1" t="str">
        <x:v>DL|UL|UL|UL|UL|</x:v>
      </x:c>
      <x:c r="N10" s="1" t="n">
        <x:v>1400</x:v>
      </x:c>
      <x:c r="O10" s="1" t="n">
        <x:v>1048576</x:v>
      </x:c>
      <x:c r="P10" s="1" t="n">
        <x:v>42</x:v>
      </x:c>
      <x:c r="Q10" s="1" t="n">
        <x:v>3</x:v>
      </x:c>
      <x:c r="R10" s="1" t="n">
        <x:v>203.9995104</x:v>
      </x:c>
      <x:c r="S10" s="1" t="n">
        <x:v>199.99952</x:v>
      </x:c>
      <x:c r="T10" s="1" t="n">
        <x:v>12.96714932</x:v>
      </x:c>
      <x:c r="U10" s="1" t="n">
        <x:v>0.107273378</x:v>
      </x:c>
      <x:c r="V10" s="1" t="n">
        <x:v>0</x:v>
      </x:c>
      <x:c r="W10" s="1" t="n">
        <x:v>178571</x:v>
      </x:c>
      <x:c r="X10" s="1" t="n">
        <x:v>178571</x:v>
      </x:c>
      <x:c r="Y10" s="1" t="n">
        <x:v>254999388</x:v>
      </x:c>
      <x:c r="Z10" s="1" t="n">
        <x:v>0</x:v>
      </x:c>
      <x:c r="AA10" s="1" t="n">
        <x:v>75</x:v>
      </x:c>
      <x:c r="AB10" s="1" t="n">
        <x:v>2</x:v>
      </x:c>
    </x:row>
    <x:row r="11" ht="21" customHeight="1">
      <x:c r="A11" s="1" t="str">
        <x:v>numerology_1_run_3</x:v>
      </x:c>
      <x:c r="B11" s="1" t="n">
        <x:v>75</x:v>
      </x:c>
      <x:c r="C11" s="1" t="str">
        <x:v>ns3</x:v>
      </x:c>
      <x:c r="D11" s="1" t="str">
        <x:v>experiments/execution_75/experiment_2/config.json</x:v>
      </x:c>
      <x:c r="E11" s="1" t="str">
        <x:v>experiments/execution_75/experiment_2/results.json</x:v>
      </x:c>
      <x:c r="F11" s="1" t="str">
        <x:v>/home/dinos/ns-allinone-3.47/ns-3.47/experiments/execution_75/experiment_2</x:v>
      </x:c>
      <x:c r="G11" s="1" t="n">
        <x:v>100</x:v>
      </x:c>
      <x:c r="H11" s="1" t="n">
        <x:v>100.3605998</x:v>
      </x:c>
      <x:c r="I11" s="1" t="n">
        <x:v>10</x:v>
      </x:c>
      <x:c r="J11" s="1" t="n">
        <x:v>200</x:v>
      </x:c>
      <x:c r="K11" s="1" t="n">
        <x:v>100000000</x:v>
      </x:c>
      <x:c r="L11" s="1" t="n">
        <x:v>1</x:v>
      </x:c>
      <x:c r="M11" s="1" t="str">
        <x:v>DL|UL|UL|UL|UL|</x:v>
      </x:c>
      <x:c r="N11" s="1" t="n">
        <x:v>1400</x:v>
      </x:c>
      <x:c r="O11" s="1" t="n">
        <x:v>1048576</x:v>
      </x:c>
      <x:c r="P11" s="1" t="n">
        <x:v>42</x:v>
      </x:c>
      <x:c r="Q11" s="1" t="n">
        <x:v>3</x:v>
      </x:c>
      <x:c r="R11" s="1" t="n">
        <x:v>203.9995104</x:v>
      </x:c>
      <x:c r="S11" s="1" t="n">
        <x:v>199.99952</x:v>
      </x:c>
      <x:c r="T11" s="1" t="n">
        <x:v>7.031545527</x:v>
      </x:c>
      <x:c r="U11" s="1" t="n">
        <x:v>0.104842693</x:v>
      </x:c>
      <x:c r="V11" s="1" t="n">
        <x:v>0</x:v>
      </x:c>
      <x:c r="W11" s="1" t="n">
        <x:v>178571</x:v>
      </x:c>
      <x:c r="X11" s="1" t="n">
        <x:v>178571</x:v>
      </x:c>
      <x:c r="Y11" s="1" t="n">
        <x:v>254999388</x:v>
      </x:c>
      <x:c r="Z11" s="1" t="n">
        <x:v>0</x:v>
      </x:c>
      <x:c r="AA11" s="1" t="n">
        <x:v>75</x:v>
      </x:c>
      <x:c r="AB11" s="1" t="n">
        <x:v>2</x:v>
      </x:c>
    </x:row>
    <x:row r="12" ht="21" customHeight="1">
      <x:c r="A12" s="1" t="str">
        <x:v>numerology_2_run_3</x:v>
      </x:c>
      <x:c r="B12" s="1" t="n">
        <x:v>75</x:v>
      </x:c>
      <x:c r="C12" s="1" t="str">
        <x:v>ns3</x:v>
      </x:c>
      <x:c r="D12" s="1" t="str">
        <x:v>experiments/execution_75/experiment_3/config.json</x:v>
      </x:c>
      <x:c r="E12" s="1" t="str">
        <x:v>experiments/execution_75/experiment_3/results.json</x:v>
      </x:c>
      <x:c r="F12" s="1" t="str">
        <x:v>/home/dinos/ns-allinone-3.47/ns-3.47/experiments/execution_75/experiment_3</x:v>
      </x:c>
      <x:c r="G12" s="1" t="n">
        <x:v>100</x:v>
      </x:c>
      <x:c r="H12" s="1" t="n">
        <x:v>100.3605998</x:v>
      </x:c>
      <x:c r="I12" s="1" t="n">
        <x:v>10</x:v>
      </x:c>
      <x:c r="J12" s="1" t="n">
        <x:v>200</x:v>
      </x:c>
      <x:c r="K12" s="1" t="n">
        <x:v>100000000</x:v>
      </x:c>
      <x:c r="L12" s="1" t="n">
        <x:v>2</x:v>
      </x:c>
      <x:c r="M12" s="1" t="str">
        <x:v>DL|UL|UL|UL|UL|</x:v>
      </x:c>
      <x:c r="N12" s="1" t="n">
        <x:v>1400</x:v>
      </x:c>
      <x:c r="O12" s="1" t="n">
        <x:v>1048576</x:v>
      </x:c>
      <x:c r="P12" s="1" t="n">
        <x:v>42</x:v>
      </x:c>
      <x:c r="Q12" s="1" t="n">
        <x:v>3</x:v>
      </x:c>
      <x:c r="R12" s="1" t="n">
        <x:v>203.9995104</x:v>
      </x:c>
      <x:c r="S12" s="1" t="n">
        <x:v>199.99952</x:v>
      </x:c>
      <x:c r="T12" s="1" t="n">
        <x:v>4.116510673</x:v>
      </x:c>
      <x:c r="U12" s="1" t="n">
        <x:v>0.10065293</x:v>
      </x:c>
      <x:c r="V12" s="1" t="n">
        <x:v>0</x:v>
      </x:c>
      <x:c r="W12" s="1" t="n">
        <x:v>178571</x:v>
      </x:c>
      <x:c r="X12" s="1" t="n">
        <x:v>178571</x:v>
      </x:c>
      <x:c r="Y12" s="1" t="n">
        <x:v>254999388</x:v>
      </x:c>
      <x:c r="Z12" s="1" t="n">
        <x:v>0</x:v>
      </x:c>
      <x:c r="AA12" s="1" t="n">
        <x:v>75</x:v>
      </x:c>
      <x:c r="AB12" s="1" t="n">
        <x:v>2</x:v>
      </x:c>
    </x:row>
    <x:row r="13" ht="21" customHeight="1">
      <x:c r="A13" s="1" t="str">
        <x:v>numerology_0_run_4</x:v>
      </x:c>
      <x:c r="B13" s="1" t="n">
        <x:v>76</x:v>
      </x:c>
      <x:c r="C13" s="1" t="str">
        <x:v>ns3</x:v>
      </x:c>
      <x:c r="D13" s="1" t="str">
        <x:v>experiments/execution_76/experiment_1/config.json</x:v>
      </x:c>
      <x:c r="E13" s="1" t="str">
        <x:v>experiments/execution_76/experiment_1/results.json</x:v>
      </x:c>
      <x:c r="F13" s="1" t="str">
        <x:v>/home/dinos/ns-allinone-3.47/ns-3.47/experiments/execution_76/experiment_1</x:v>
      </x:c>
      <x:c r="G13" s="1" t="n">
        <x:v>100</x:v>
      </x:c>
      <x:c r="H13" s="1" t="n">
        <x:v>100.3605998</x:v>
      </x:c>
      <x:c r="I13" s="1" t="n">
        <x:v>10</x:v>
      </x:c>
      <x:c r="J13" s="1" t="n">
        <x:v>200</x:v>
      </x:c>
      <x:c r="K13" s="1" t="n">
        <x:v>100000000</x:v>
      </x:c>
      <x:c r="L13" s="1" t="n">
        <x:v>0</x:v>
      </x:c>
      <x:c r="M13" s="1" t="str">
        <x:v>DL|UL|UL|UL|UL|</x:v>
      </x:c>
      <x:c r="N13" s="1" t="n">
        <x:v>1400</x:v>
      </x:c>
      <x:c r="O13" s="1" t="n">
        <x:v>1048576</x:v>
      </x:c>
      <x:c r="P13" s="1" t="n">
        <x:v>42</x:v>
      </x:c>
      <x:c r="Q13" s="1" t="n">
        <x:v>4</x:v>
      </x:c>
      <x:c r="R13" s="1" t="n">
        <x:v>203.9995104</x:v>
      </x:c>
      <x:c r="S13" s="1" t="n">
        <x:v>199.99952</x:v>
      </x:c>
      <x:c r="T13" s="1" t="n">
        <x:v>13.0487835</x:v>
      </x:c>
      <x:c r="U13" s="1" t="n">
        <x:v>0.107310514</x:v>
      </x:c>
      <x:c r="V13" s="1" t="n">
        <x:v>0</x:v>
      </x:c>
      <x:c r="W13" s="1" t="n">
        <x:v>178571</x:v>
      </x:c>
      <x:c r="X13" s="1" t="n">
        <x:v>178571</x:v>
      </x:c>
      <x:c r="Y13" s="1" t="n">
        <x:v>254999388</x:v>
      </x:c>
      <x:c r="Z13" s="1" t="n">
        <x:v>0</x:v>
      </x:c>
      <x:c r="AA13" s="1" t="n">
        <x:v>76</x:v>
      </x:c>
      <x:c r="AB13" s="1" t="n">
        <x:v>2</x:v>
      </x:c>
    </x:row>
    <x:row r="14" ht="21" customHeight="1">
      <x:c r="A14" s="1" t="str">
        <x:v>numerology_1_run_4</x:v>
      </x:c>
      <x:c r="B14" s="1" t="n">
        <x:v>76</x:v>
      </x:c>
      <x:c r="C14" s="1" t="str">
        <x:v>ns3</x:v>
      </x:c>
      <x:c r="D14" s="1" t="str">
        <x:v>experiments/execution_76/experiment_2/config.json</x:v>
      </x:c>
      <x:c r="E14" s="1" t="str">
        <x:v>experiments/execution_76/experiment_2/results.json</x:v>
      </x:c>
      <x:c r="F14" s="1" t="str">
        <x:v>/home/dinos/ns-allinone-3.47/ns-3.47/experiments/execution_76/experiment_2</x:v>
      </x:c>
      <x:c r="G14" s="1" t="n">
        <x:v>100</x:v>
      </x:c>
      <x:c r="H14" s="1" t="n">
        <x:v>100.3605998</x:v>
      </x:c>
      <x:c r="I14" s="1" t="n">
        <x:v>10</x:v>
      </x:c>
      <x:c r="J14" s="1" t="n">
        <x:v>200</x:v>
      </x:c>
      <x:c r="K14" s="1" t="n">
        <x:v>100000000</x:v>
      </x:c>
      <x:c r="L14" s="1" t="n">
        <x:v>1</x:v>
      </x:c>
      <x:c r="M14" s="1" t="str">
        <x:v>DL|UL|UL|UL|UL|</x:v>
      </x:c>
      <x:c r="N14" s="1" t="n">
        <x:v>1400</x:v>
      </x:c>
      <x:c r="O14" s="1" t="n">
        <x:v>1048576</x:v>
      </x:c>
      <x:c r="P14" s="1" t="n">
        <x:v>42</x:v>
      </x:c>
      <x:c r="Q14" s="1" t="n">
        <x:v>4</x:v>
      </x:c>
      <x:c r="R14" s="1" t="n">
        <x:v>203.9995104</x:v>
      </x:c>
      <x:c r="S14" s="1" t="n">
        <x:v>199.99952</x:v>
      </x:c>
      <x:c r="T14" s="1" t="n">
        <x:v>7.053741325</x:v>
      </x:c>
      <x:c r="U14" s="1" t="n">
        <x:v>0.104875392</x:v>
      </x:c>
      <x:c r="V14" s="1" t="n">
        <x:v>0</x:v>
      </x:c>
      <x:c r="W14" s="1" t="n">
        <x:v>178571</x:v>
      </x:c>
      <x:c r="X14" s="1" t="n">
        <x:v>178571</x:v>
      </x:c>
      <x:c r="Y14" s="1" t="n">
        <x:v>254999388</x:v>
      </x:c>
      <x:c r="Z14" s="1" t="n">
        <x:v>0</x:v>
      </x:c>
      <x:c r="AA14" s="1" t="n">
        <x:v>76</x:v>
      </x:c>
      <x:c r="AB14" s="1" t="n">
        <x:v>2</x:v>
      </x:c>
    </x:row>
    <x:row r="15" ht="21" customHeight="1">
      <x:c r="A15" s="1" t="str">
        <x:v>numerology_2_run_4</x:v>
      </x:c>
      <x:c r="B15" s="1" t="n">
        <x:v>76</x:v>
      </x:c>
      <x:c r="C15" s="1" t="str">
        <x:v>ns3</x:v>
      </x:c>
      <x:c r="D15" s="1" t="str">
        <x:v>experiments/execution_76/experiment_3/config.json</x:v>
      </x:c>
      <x:c r="E15" s="1" t="str">
        <x:v>experiments/execution_76/experiment_3/results.json</x:v>
      </x:c>
      <x:c r="F15" s="1" t="str">
        <x:v>/home/dinos/ns-allinone-3.47/ns-3.47/experiments/execution_76/experiment_3</x:v>
      </x:c>
      <x:c r="G15" s="1" t="n">
        <x:v>100</x:v>
      </x:c>
      <x:c r="H15" s="1" t="n">
        <x:v>100.3605998</x:v>
      </x:c>
      <x:c r="I15" s="1" t="n">
        <x:v>10</x:v>
      </x:c>
      <x:c r="J15" s="1" t="n">
        <x:v>200</x:v>
      </x:c>
      <x:c r="K15" s="1" t="n">
        <x:v>100000000</x:v>
      </x:c>
      <x:c r="L15" s="1" t="n">
        <x:v>2</x:v>
      </x:c>
      <x:c r="M15" s="1" t="str">
        <x:v>DL|UL|UL|UL|UL|</x:v>
      </x:c>
      <x:c r="N15" s="1" t="n">
        <x:v>1400</x:v>
      </x:c>
      <x:c r="O15" s="1" t="n">
        <x:v>1048576</x:v>
      </x:c>
      <x:c r="P15" s="1" t="n">
        <x:v>42</x:v>
      </x:c>
      <x:c r="Q15" s="1" t="n">
        <x:v>4</x:v>
      </x:c>
      <x:c r="R15" s="1" t="n">
        <x:v>203.9995104</x:v>
      </x:c>
      <x:c r="S15" s="1" t="n">
        <x:v>199.99952</x:v>
      </x:c>
      <x:c r="T15" s="1" t="n">
        <x:v>4.08822038</x:v>
      </x:c>
      <x:c r="U15" s="1" t="n">
        <x:v>0.100534742</x:v>
      </x:c>
      <x:c r="V15" s="1" t="n">
        <x:v>0</x:v>
      </x:c>
      <x:c r="W15" s="1" t="n">
        <x:v>178571</x:v>
      </x:c>
      <x:c r="X15" s="1" t="n">
        <x:v>178571</x:v>
      </x:c>
      <x:c r="Y15" s="1" t="n">
        <x:v>254999388</x:v>
      </x:c>
      <x:c r="Z15" s="1" t="n">
        <x:v>0</x:v>
      </x:c>
      <x:c r="AA15" s="1" t="n">
        <x:v>76</x:v>
      </x:c>
      <x:c r="AB15" s="1" t="n">
        <x:v>2</x:v>
      </x:c>
    </x:row>
    <x:row r="16" ht="21" customHeight="1">
      <x:c r="A16" s="1" t="str">
        <x:v>numerology_0_run_5</x:v>
      </x:c>
      <x:c r="B16" s="1" t="n">
        <x:v>77</x:v>
      </x:c>
      <x:c r="C16" s="1" t="str">
        <x:v>ns3</x:v>
      </x:c>
      <x:c r="D16" s="1" t="str">
        <x:v>experiments/execution_77/experiment_1/config.json</x:v>
      </x:c>
      <x:c r="E16" s="1" t="str">
        <x:v>experiments/execution_77/experiment_1/results.json</x:v>
      </x:c>
      <x:c r="F16" s="1" t="str">
        <x:v>/home/dinos/ns-allinone-3.47/ns-3.47/experiments/execution_77/experiment_1</x:v>
      </x:c>
      <x:c r="G16" s="1" t="n">
        <x:v>100</x:v>
      </x:c>
      <x:c r="H16" s="1" t="n">
        <x:v>100.3605998</x:v>
      </x:c>
      <x:c r="I16" s="1" t="n">
        <x:v>10</x:v>
      </x:c>
      <x:c r="J16" s="1" t="n">
        <x:v>200</x:v>
      </x:c>
      <x:c r="K16" s="1" t="n">
        <x:v>100000000</x:v>
      </x:c>
      <x:c r="L16" s="1" t="n">
        <x:v>0</x:v>
      </x:c>
      <x:c r="M16" s="1" t="str">
        <x:v>DL|UL|UL|UL|UL|</x:v>
      </x:c>
      <x:c r="N16" s="1" t="n">
        <x:v>1400</x:v>
      </x:c>
      <x:c r="O16" s="1" t="n">
        <x:v>1048576</x:v>
      </x:c>
      <x:c r="P16" s="1" t="n">
        <x:v>42</x:v>
      </x:c>
      <x:c r="Q16" s="1" t="n">
        <x:v>5</x:v>
      </x:c>
      <x:c r="R16" s="1" t="n">
        <x:v>203.9995104</x:v>
      </x:c>
      <x:c r="S16" s="1" t="n">
        <x:v>199.99952</x:v>
      </x:c>
      <x:c r="T16" s="1" t="n">
        <x:v>13.01960548</x:v>
      </x:c>
      <x:c r="U16" s="1" t="n">
        <x:v>0.10733836</x:v>
      </x:c>
      <x:c r="V16" s="1" t="n">
        <x:v>0</x:v>
      </x:c>
      <x:c r="W16" s="1" t="n">
        <x:v>178571</x:v>
      </x:c>
      <x:c r="X16" s="1" t="n">
        <x:v>178571</x:v>
      </x:c>
      <x:c r="Y16" s="1" t="n">
        <x:v>254999388</x:v>
      </x:c>
      <x:c r="Z16" s="1" t="n">
        <x:v>0</x:v>
      </x:c>
      <x:c r="AA16" s="1" t="n">
        <x:v>77</x:v>
      </x:c>
      <x:c r="AB16" s="1" t="n">
        <x:v>2</x:v>
      </x:c>
    </x:row>
    <x:row r="17" ht="21" customHeight="1">
      <x:c r="A17" s="1" t="str">
        <x:v>numerology_1_run_5</x:v>
      </x:c>
      <x:c r="B17" s="1" t="n">
        <x:v>77</x:v>
      </x:c>
      <x:c r="C17" s="1" t="str">
        <x:v>ns3</x:v>
      </x:c>
      <x:c r="D17" s="1" t="str">
        <x:v>experiments/execution_77/experiment_2/config.json</x:v>
      </x:c>
      <x:c r="E17" s="1" t="str">
        <x:v>experiments/execution_77/experiment_2/results.json</x:v>
      </x:c>
      <x:c r="F17" s="1" t="str">
        <x:v>/home/dinos/ns-allinone-3.47/ns-3.47/experiments/execution_77/experiment_2</x:v>
      </x:c>
      <x:c r="G17" s="1" t="n">
        <x:v>100</x:v>
      </x:c>
      <x:c r="H17" s="1" t="n">
        <x:v>100.3605998</x:v>
      </x:c>
      <x:c r="I17" s="1" t="n">
        <x:v>10</x:v>
      </x:c>
      <x:c r="J17" s="1" t="n">
        <x:v>200</x:v>
      </x:c>
      <x:c r="K17" s="1" t="n">
        <x:v>100000000</x:v>
      </x:c>
      <x:c r="L17" s="1" t="n">
        <x:v>1</x:v>
      </x:c>
      <x:c r="M17" s="1" t="str">
        <x:v>DL|UL|UL|UL|UL|</x:v>
      </x:c>
      <x:c r="N17" s="1" t="n">
        <x:v>1400</x:v>
      </x:c>
      <x:c r="O17" s="1" t="n">
        <x:v>1048576</x:v>
      </x:c>
      <x:c r="P17" s="1" t="n">
        <x:v>42</x:v>
      </x:c>
      <x:c r="Q17" s="1" t="n">
        <x:v>5</x:v>
      </x:c>
      <x:c r="R17" s="1" t="n">
        <x:v>203.9995104</x:v>
      </x:c>
      <x:c r="S17" s="1" t="n">
        <x:v>199.99952</x:v>
      </x:c>
      <x:c r="T17" s="1" t="n">
        <x:v>7.060508858</x:v>
      </x:c>
      <x:c r="U17" s="1" t="n">
        <x:v>0.104907419</x:v>
      </x:c>
      <x:c r="V17" s="1" t="n">
        <x:v>0</x:v>
      </x:c>
      <x:c r="W17" s="1" t="n">
        <x:v>178571</x:v>
      </x:c>
      <x:c r="X17" s="1" t="n">
        <x:v>178571</x:v>
      </x:c>
      <x:c r="Y17" s="1" t="n">
        <x:v>254999388</x:v>
      </x:c>
      <x:c r="Z17" s="1" t="n">
        <x:v>0</x:v>
      </x:c>
      <x:c r="AA17" s="1" t="n">
        <x:v>77</x:v>
      </x:c>
      <x:c r="AB17" s="1" t="n">
        <x:v>2</x:v>
      </x:c>
    </x:row>
    <x:row r="18" ht="21" customHeight="1">
      <x:c r="A18" s="1" t="str">
        <x:v>numerology_2_run_5</x:v>
      </x:c>
      <x:c r="B18" s="1" t="n">
        <x:v>77</x:v>
      </x:c>
      <x:c r="C18" s="1" t="str">
        <x:v>ns3</x:v>
      </x:c>
      <x:c r="D18" s="1" t="str">
        <x:v>experiments/execution_77/experiment_3/config.json</x:v>
      </x:c>
      <x:c r="E18" s="1" t="str">
        <x:v>experiments/execution_77/experiment_3/results.json</x:v>
      </x:c>
      <x:c r="F18" s="1" t="str">
        <x:v>/home/dinos/ns-allinone-3.47/ns-3.47/experiments/execution_77/experiment_3</x:v>
      </x:c>
      <x:c r="G18" s="1" t="n">
        <x:v>100</x:v>
      </x:c>
      <x:c r="H18" s="1" t="n">
        <x:v>100.3605998</x:v>
      </x:c>
      <x:c r="I18" s="1" t="n">
        <x:v>10</x:v>
      </x:c>
      <x:c r="J18" s="1" t="n">
        <x:v>200</x:v>
      </x:c>
      <x:c r="K18" s="1" t="n">
        <x:v>100000000</x:v>
      </x:c>
      <x:c r="L18" s="1" t="n">
        <x:v>2</x:v>
      </x:c>
      <x:c r="M18" s="1" t="str">
        <x:v>DL|UL|UL|UL|UL|</x:v>
      </x:c>
      <x:c r="N18" s="1" t="n">
        <x:v>1400</x:v>
      </x:c>
      <x:c r="O18" s="1" t="n">
        <x:v>1048576</x:v>
      </x:c>
      <x:c r="P18" s="1" t="n">
        <x:v>42</x:v>
      </x:c>
      <x:c r="Q18" s="1" t="n">
        <x:v>5</x:v>
      </x:c>
      <x:c r="R18" s="1" t="n">
        <x:v>203.9995104</x:v>
      </x:c>
      <x:c r="S18" s="1" t="n">
        <x:v>199.99952</x:v>
      </x:c>
      <x:c r="T18" s="1" t="n">
        <x:v>4.112596431</x:v>
      </x:c>
      <x:c r="U18" s="1" t="n">
        <x:v>0.100534354</x:v>
      </x:c>
      <x:c r="V18" s="1" t="n">
        <x:v>0</x:v>
      </x:c>
      <x:c r="W18" s="1" t="n">
        <x:v>178571</x:v>
      </x:c>
      <x:c r="X18" s="1" t="n">
        <x:v>178571</x:v>
      </x:c>
      <x:c r="Y18" s="1" t="n">
        <x:v>254999388</x:v>
      </x:c>
      <x:c r="Z18" s="1" t="n">
        <x:v>0</x:v>
      </x:c>
      <x:c r="AA18" s="1" t="n">
        <x:v>77</x:v>
      </x:c>
      <x:c r="AB18" s="1" t="n">
        <x:v>2</x:v>
      </x:c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