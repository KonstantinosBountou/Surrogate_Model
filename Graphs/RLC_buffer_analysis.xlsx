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ad02065f0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LC buffer" sheetId="1" r:id="Reddc5cdb264c479d"/>
    <x:sheet xmlns:r="http://schemas.openxmlformats.org/officeDocument/2006/relationships" name="Raw data" sheetId="2" r:id="Rb2b322457d324d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4ea454dbb4a2a" /><Relationship Type="http://schemas.openxmlformats.org/officeDocument/2006/relationships/theme" Target="/xl/theme/theme1.xml" Id="R5a59c0e9435e488f" /><Relationship Type="http://schemas.openxmlformats.org/officeDocument/2006/relationships/sharedStrings" Target="/xl/sharedStrings.xml" Id="Rb5dd5d62ebb344c8" /><Relationship Type="http://schemas.openxmlformats.org/officeDocument/2006/relationships/worksheet" Target="/xl/worksheets/sheet1.xml" Id="Reddc5cdb264c479d" /><Relationship Type="http://schemas.openxmlformats.org/officeDocument/2006/relationships/worksheet" Target="/xl/worksheets/sheet2.xml" Id="Rb2b322457d324d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fe286594b8450c" /><Relationship Type="http://schemas.openxmlformats.org/officeDocument/2006/relationships/chart" Target="/xl/drawings/charts/chart2.xml" Id="R7ae71e8cc52e4c97" /><Relationship Type="http://schemas.openxmlformats.org/officeDocument/2006/relationships/chart" Target="/xl/drawings/charts/chart3.xml" Id="R7a1d79e7574943d5" /><Relationship Type="http://schemas.openxmlformats.org/officeDocument/2006/relationships/chart" Target="/xl/drawings/charts/chart4.xml" Id="R75ee6e4cf2394d99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Throughput and goodput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Throughput (Mbps)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'RLC buffer'!$G$58:$G$62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plus>
            <c:minus>
              <c:numRef>
                <c:f>'RLC buffer'!$G$58:$G$62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minus>
          </c:errBars>
          <c:xVal>
            <c:numRef>
              <c:f>'RLC buffer'!$A$58:$A$62</c:f>
              <c:numCache>
                <c:formatCode>General</c:formatCode>
                <c:ptCount val="0"/>
              </c:numCache>
            </c:numRef>
          </c:xVal>
          <c:yVal>
            <c:numRef>
              <c:f>'RLC buffer'!$B$58:$B$62</c:f>
              <c:numCache>
                <c:formatCode>0.00000</c:formatCode>
                <c:ptCount val="0"/>
              </c:numCache>
            </c:numRef>
          </c:yVal>
        </c:ser>
        <c:ser>
          <c:idx val="1"/>
          <c:order val="1"/>
          <c:tx>
            <c:v>Goodput (Mbps)</c:v>
          </c:tx>
          <c:spPr>
            <a:solidFill>
              <a:srgbClr val="E28A22"/>
            </a:solidFill>
            <a:ln w="19050">
              <a:solidFill>
                <a:srgbClr val="E28A22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'RLC buffer'!$H$58:$H$62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plus>
            <c:minus>
              <c:numRef>
                <c:f>'RLC buffer'!$H$58:$H$62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minus>
          </c:errBars>
          <c:xVal>
            <c:numRef>
              <c:f>'RLC buffer'!$A$58:$A$62</c:f>
              <c:numCache>
                <c:formatCode>General</c:formatCode>
                <c:ptCount val="0"/>
              </c:numCache>
            </c:numRef>
          </c:xVal>
          <c:yVal>
            <c:numRef>
              <c:f>'RLC buffer'!$C$58:$C$62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Rate (Mbps)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RLC buffer (KiB)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200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End-to-end delay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Delay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'RLC buffer'!$I$58:$I$62</c:f>
                <c:numCache>
                  <c:formatCode>0.000000</c:formatCode>
                  <c:ptCount val="5"/>
                  <c:pt idx="0">
                    <c:v>0.0017708898979841739</c:v>
                  </c:pt>
                  <c:pt idx="1">
                    <c:v>0.0011410694549758185</c:v>
                  </c:pt>
                  <c:pt idx="2">
                    <c:v>0.0008576325918483952</c:v>
                  </c:pt>
                  <c:pt idx="3">
                    <c:v>0.0021004347225195195</c:v>
                  </c:pt>
                  <c:pt idx="4">
                    <c:v>0.0036052622072137715</c:v>
                  </c:pt>
                </c:numCache>
              </c:numRef>
            </c:plus>
            <c:minus>
              <c:numRef>
                <c:f>'RLC buffer'!$I$58:$I$62</c:f>
                <c:numCache>
                  <c:formatCode>0.000000</c:formatCode>
                  <c:ptCount val="5"/>
                  <c:pt idx="0">
                    <c:v>0.0017708898979841739</c:v>
                  </c:pt>
                  <c:pt idx="1">
                    <c:v>0.0011410694549758185</c:v>
                  </c:pt>
                  <c:pt idx="2">
                    <c:v>0.0008576325918483952</c:v>
                  </c:pt>
                  <c:pt idx="3">
                    <c:v>0.0021004347225195195</c:v>
                  </c:pt>
                  <c:pt idx="4">
                    <c:v>0.0036052622072137715</c:v>
                  </c:pt>
                </c:numCache>
              </c:numRef>
            </c:minus>
          </c:errBars>
          <c:xVal>
            <c:numRef>
              <c:f>'RLC buffer'!$A$58:$A$62</c:f>
              <c:numCache>
                <c:formatCode>General</c:formatCode>
                <c:ptCount val="0"/>
              </c:numCache>
            </c:numRef>
          </c:xVal>
          <c:yVal>
            <c:numRef>
              <c:f>'RLC buffer'!$D$58:$D$62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Delay (ms)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RLC buffer (KiB)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200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Packet loss after drain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Loss (%)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'RLC buffer'!$K$58:$K$62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plus>
            <c:minus>
              <c:numRef>
                <c:f>'RLC buffer'!$K$58:$K$62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minus>
          </c:errBars>
          <c:xVal>
            <c:numRef>
              <c:f>'RLC buffer'!$A$58:$A$62</c:f>
              <c:numCache>
                <c:formatCode>General</c:formatCode>
                <c:ptCount val="0"/>
              </c:numCache>
            </c:numRef>
          </c:xVal>
          <c:yVal>
            <c:numRef>
              <c:f>'RLC buffer'!$F$58:$F$62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in val="7.5"/>
          <c:max val="8.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Loss (%)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RLC buffer (KiB)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200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Jitter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Jitter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'RLC buffer'!$J$58:$J$62</c:f>
                <c:numCache>
                  <c:formatCode>0.000000</c:formatCode>
                  <c:ptCount val="5"/>
                  <c:pt idx="0">
                    <c:v>3.621038352875947e-05</c:v>
                  </c:pt>
                  <c:pt idx="1">
                    <c:v>2.0785060050427977e-05</c:v>
                  </c:pt>
                  <c:pt idx="2">
                    <c:v>1.7729070906279657e-05</c:v>
                  </c:pt>
                  <c:pt idx="3">
                    <c:v>2.922928541206955e-05</c:v>
                  </c:pt>
                  <c:pt idx="4">
                    <c:v>3.5011485468343945e-05</c:v>
                  </c:pt>
                </c:numCache>
              </c:numRef>
            </c:plus>
            <c:minus>
              <c:numRef>
                <c:f>'RLC buffer'!$J$58:$J$62</c:f>
                <c:numCache>
                  <c:formatCode>0.000000</c:formatCode>
                  <c:ptCount val="5"/>
                  <c:pt idx="0">
                    <c:v>3.621038352875947e-05</c:v>
                  </c:pt>
                  <c:pt idx="1">
                    <c:v>2.0785060050427977e-05</c:v>
                  </c:pt>
                  <c:pt idx="2">
                    <c:v>1.7729070906279657e-05</c:v>
                  </c:pt>
                  <c:pt idx="3">
                    <c:v>2.922928541206955e-05</c:v>
                  </c:pt>
                  <c:pt idx="4">
                    <c:v>3.5011485468343945e-05</c:v>
                  </c:pt>
                </c:numCache>
              </c:numRef>
            </c:minus>
          </c:errBars>
          <c:xVal>
            <c:numRef>
              <c:f>'RLC buffer'!$A$58:$A$62</c:f>
              <c:numCache>
                <c:formatCode>General</c:formatCode>
                <c:ptCount val="0"/>
              </c:numCache>
            </c:numRef>
          </c:xVal>
          <c:yVal>
            <c:numRef>
              <c:f>'RLC buffer'!$E$58:$E$62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Jitter (ms)</a:t>
                </a:r>
              </a:p>
            </c:rich>
          </c:tx>
          <c:overlay val="0"/>
        </c:title>
        <c:numFmt formatCode="0.000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RLC buffer (KiB)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200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fe286594b8450c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e71e8cc52e4c97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9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1d79e7574943d5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ee6e4cf2394d9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0f57a5da7749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5" t="str">
        <x:v>RLC buffer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</x:row>
    <x:row r="4" ht="21" customHeight="1">
      <x:c r="A4" s="1" t="str">
        <x:v>Mean of five runs (1–5), seed 42. Error bars = ±1 sample SD, not confidence intervals.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21" customHeight="1">
      <x:c r="A5" s="1" t="str">
        <x:v>Offered load 250 Mbps; bandwidth 100 MHz; UE power 10 dBm; distance 100 m; numerology 2; TDD DL|UL|UL|UL|.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</x:row>
    <x:row r="6" ht="21" customHeight="1">
      <x:c r="A6" s="1" t="str">
        <x:v>Payload 1400 B; RLC buffer 64–1024 KiB; application window 10 s; drain 2 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</x:row>
    <x:row r="7" ht="21" customHeight="1">
      <x:c r="A7" s="1" t="str">
        <x:v>Loss = packets not received after drain / transmitted packets. Delay and jitter describe received packets.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</x:row>
    <x:row r="8" ht="21" customHeight="1">
      <x:c r="A8" s="1" t="str">
        <x:v>Drain check: run 1 at 5 s reproduces the reported metrics at 2 s for all five buffer sizes.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46" customHeight="1">
      <x:c r="A57" s="4" t="str">
        <x:v>RLC buffer (KiB)</x:v>
      </x:c>
      <x:c r="B57" s="4" t="str">
        <x:v>Throughput (Mbps)</x:v>
      </x:c>
      <x:c r="C57" s="4" t="str">
        <x:v>Goodput (Mbps)</x:v>
      </x:c>
      <x:c r="D57" s="4" t="str">
        <x:v>Delay (ms)</x:v>
      </x:c>
      <x:c r="E57" s="4" t="str">
        <x:v>Jitter (ms)</x:v>
      </x:c>
      <x:c r="F57" s="4" t="str">
        <x:v>Loss (%)</x:v>
      </x:c>
      <x:c r="G57" s="4" t="str">
        <x:v>Throughput SD</x:v>
      </x:c>
      <x:c r="H57" s="4" t="str">
        <x:v>Goodput SD</x:v>
      </x:c>
      <x:c r="I57" s="4" t="str">
        <x:v>Delay SD (ms)</x:v>
      </x:c>
      <x:c r="J57" s="4" t="str">
        <x:v>Jitter SD (ms)</x:v>
      </x:c>
      <x:c r="K57" s="4" t="str">
        <x:v>Loss SD (pp)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 t="n">
        <x:v>64</x:v>
      </x:c>
      <x:c r="B58" s="6" t="n">
        <x:f>AVERAGE('Raw data'!T4,'Raw data'!T9,'Raw data'!T14,'Raw data'!T19,'Raw data'!T24)</x:f>
        <x:v>234.900288</x:v>
      </x:c>
      <x:c r="C58" s="6" t="n">
        <x:f>AVERAGE('Raw data'!U4,'Raw data'!U9,'Raw data'!U14,'Raw data'!U19,'Raw data'!U24)</x:f>
        <x:v>230.2944</x:v>
      </x:c>
      <x:c r="D58" s="6" t="n">
        <x:f>AVERAGE('Raw data'!V4,'Raw data'!V9,'Raw data'!V14,'Raw data'!V19,'Raw data'!V24)</x:f>
        <x:v>4.1428076228</x:v>
      </x:c>
      <x:c r="E58" s="6" t="n">
        <x:f>AVERAGE('Raw data'!W4,'Raw data'!W9,'Raw data'!W14,'Raw data'!W19,'Raw data'!W24)</x:f>
        <x:v>0.0871693016</x:v>
      </x:c>
      <x:c r="F58" s="7" t="n">
        <x:f>AVERAGE('Raw data'!X4,'Raw data'!X9,'Raw data'!X14,'Raw data'!X19,'Raw data'!X24)*100</x:f>
        <x:v>7.8821221</x:v>
      </x:c>
      <x:c r="G58" s="6" t="n">
        <x:f>STDEV('Raw data'!T4,'Raw data'!T9,'Raw data'!T14,'Raw data'!T19,'Raw data'!T24)</x:f>
        <x:v>0</x:v>
      </x:c>
      <x:c r="H58" s="6" t="n">
        <x:f>STDEV('Raw data'!U4,'Raw data'!U9,'Raw data'!U14,'Raw data'!U19,'Raw data'!U24)</x:f>
        <x:v>0</x:v>
      </x:c>
      <x:c r="I58" s="6" t="n">
        <x:f>STDEV('Raw data'!V4,'Raw data'!V9,'Raw data'!V14,'Raw data'!V19,'Raw data'!V24)</x:f>
        <x:v>0.0017708898979841739</x:v>
      </x:c>
      <x:c r="J58" s="6" t="n">
        <x:f>STDEV('Raw data'!W4,'Raw data'!W9,'Raw data'!W14,'Raw data'!W19,'Raw data'!W24)</x:f>
        <x:v>0.00003621038352875947</x:v>
      </x:c>
      <x:c r="K58" s="6" t="n">
        <x:f>STDEV('Raw data'!X4,'Raw data'!X9,'Raw data'!X14,'Raw data'!X19,'Raw data'!X24)*100</x:f>
        <x:v>0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 t="n">
        <x:v>128</x:v>
      </x:c>
      <x:c r="B59" s="6" t="n">
        <x:f>AVERAGE('Raw data'!T5,'Raw data'!T10,'Raw data'!T15,'Raw data'!T20,'Raw data'!T25)</x:f>
        <x:v>234.95283839999996</x:v>
      </x:c>
      <x:c r="C59" s="6" t="n">
        <x:f>AVERAGE('Raw data'!U5,'Raw data'!U10,'Raw data'!U15,'Raw data'!U20,'Raw data'!U25)</x:f>
        <x:v>230.34592000000004</x:v>
      </x:c>
      <x:c r="D59" s="6" t="n">
        <x:f>AVERAGE('Raw data'!V5,'Raw data'!V10,'Raw data'!V15,'Raw data'!V20,'Raw data'!V25)</x:f>
        <x:v>6.3702735136</x:v>
      </x:c>
      <x:c r="E59" s="6" t="n">
        <x:f>AVERAGE('Raw data'!W5,'Raw data'!W10,'Raw data'!W15,'Raw data'!W20,'Raw data'!W25)</x:f>
        <x:v>0.08715270440000002</x:v>
      </x:c>
      <x:c r="F59" s="7" t="n">
        <x:f>AVERAGE('Raw data'!X5,'Raw data'!X10,'Raw data'!X15,'Raw data'!X20,'Raw data'!X25)*100</x:f>
        <x:v>7.8615141</x:v>
      </x:c>
      <x:c r="G59" s="6" t="n">
        <x:f>STDEV('Raw data'!T5,'Raw data'!T10,'Raw data'!T15,'Raw data'!T20,'Raw data'!T25)</x:f>
        <x:v>3.1776437161565096e-14</x:v>
      </x:c>
      <x:c r="H59" s="6" t="n">
        <x:f>STDEV('Raw data'!U5,'Raw data'!U10,'Raw data'!U15,'Raw data'!U20,'Raw data'!U25)</x:f>
        <x:v>3.1776437161565096e-14</x:v>
      </x:c>
      <x:c r="I59" s="6" t="n">
        <x:f>STDEV('Raw data'!V5,'Raw data'!V10,'Raw data'!V15,'Raw data'!V20,'Raw data'!V25)</x:f>
        <x:v>0.0011410694549758187</x:v>
      </x:c>
      <x:c r="J59" s="6" t="n">
        <x:f>STDEV('Raw data'!W5,'Raw data'!W10,'Raw data'!W15,'Raw data'!W20,'Raw data'!W25)</x:f>
        <x:v>0.000020785060050427977</x:v>
      </x:c>
      <x:c r="K59" s="6" t="n">
        <x:f>STDEV('Raw data'!X5,'Raw data'!X10,'Raw data'!X15,'Raw data'!X20,'Raw data'!X25)*100</x:f>
        <x:v>0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 t="n">
        <x:v>256</x:v>
      </x:c>
      <x:c r="B60" s="6" t="n">
        <x:f>AVERAGE('Raw data'!T6,'Raw data'!T11,'Raw data'!T16,'Raw data'!T21,'Raw data'!T26)</x:f>
        <x:v>235.05793920000002</x:v>
      </x:c>
      <x:c r="C60" s="6" t="n">
        <x:f>AVERAGE('Raw data'!U6,'Raw data'!U11,'Raw data'!U16,'Raw data'!U21,'Raw data'!U26)</x:f>
        <x:v>230.44896</x:v>
      </x:c>
      <x:c r="D60" s="6" t="n">
        <x:f>AVERAGE('Raw data'!V6,'Raw data'!V11,'Raw data'!V16,'Raw data'!V21,'Raw data'!V26)</x:f>
        <x:v>10.813803980000001</x:v>
      </x:c>
      <x:c r="E60" s="6" t="n">
        <x:f>AVERAGE('Raw data'!W6,'Raw data'!W11,'Raw data'!W16,'Raw data'!W21,'Raw data'!W26)</x:f>
        <x:v>0.08716505520000001</x:v>
      </x:c>
      <x:c r="F60" s="7" t="n">
        <x:f>AVERAGE('Raw data'!X6,'Raw data'!X11,'Raw data'!X16,'Raw data'!X21,'Raw data'!X26)*100</x:f>
        <x:v>7.820298</x:v>
      </x:c>
      <x:c r="G60" s="6" t="n">
        <x:f>STDEV('Raw data'!T6,'Raw data'!T11,'Raw data'!T16,'Raw data'!T21,'Raw data'!T26)</x:f>
        <x:v>3.1776437161565096e-14</x:v>
      </x:c>
      <x:c r="H60" s="6" t="n">
        <x:f>STDEV('Raw data'!U6,'Raw data'!U11,'Raw data'!U16,'Raw data'!U21,'Raw data'!U26)</x:f>
        <x:v>0</x:v>
      </x:c>
      <x:c r="I60" s="6" t="n">
        <x:f>STDEV('Raw data'!V6,'Raw data'!V11,'Raw data'!V16,'Raw data'!V21,'Raw data'!V26)</x:f>
        <x:v>0.000857632591848395</x:v>
      </x:c>
      <x:c r="J60" s="6" t="n">
        <x:f>STDEV('Raw data'!W6,'Raw data'!W11,'Raw data'!W16,'Raw data'!W21,'Raw data'!W26)</x:f>
        <x:v>0.000017729070906279657</x:v>
      </x:c>
      <x:c r="K60" s="6" t="n">
        <x:f>STDEV('Raw data'!X6,'Raw data'!X11,'Raw data'!X16,'Raw data'!X21,'Raw data'!X26)*100</x:f>
        <x:v>0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 t="n">
        <x:v>512</x:v>
      </x:c>
      <x:c r="B61" s="6" t="n">
        <x:f>AVERAGE('Raw data'!T7,'Raw data'!T12,'Raw data'!T17,'Raw data'!T22,'Raw data'!T27)</x:f>
        <x:v>235.2669984</x:v>
      </x:c>
      <x:c r="C61" s="6" t="n">
        <x:f>AVERAGE('Raw data'!U7,'Raw data'!U12,'Raw data'!U17,'Raw data'!U22,'Raw data'!U27)</x:f>
        <x:v>230.65392000000003</x:v>
      </x:c>
      <x:c r="D61" s="6" t="n">
        <x:f>AVERAGE('Raw data'!V7,'Raw data'!V12,'Raw data'!V17,'Raw data'!V22,'Raw data'!V27)</x:f>
        <x:v>19.620486338</x:v>
      </x:c>
      <x:c r="E61" s="6" t="n">
        <x:f>AVERAGE('Raw data'!W7,'Raw data'!W12,'Raw data'!W17,'Raw data'!W22,'Raw data'!W27)</x:f>
        <x:v>0.0870969002</x:v>
      </x:c>
      <x:c r="F61" s="7" t="n">
        <x:f>AVERAGE('Raw data'!X7,'Raw data'!X12,'Raw data'!X17,'Raw data'!X22,'Raw data'!X27)*100</x:f>
        <x:v>7.7383139000000005</x:v>
      </x:c>
      <x:c r="G61" s="6" t="n">
        <x:f>STDEV('Raw data'!T7,'Raw data'!T12,'Raw data'!T17,'Raw data'!T22,'Raw data'!T27)</x:f>
        <x:v>0</x:v>
      </x:c>
      <x:c r="H61" s="6" t="n">
        <x:f>STDEV('Raw data'!U7,'Raw data'!U12,'Raw data'!U17,'Raw data'!U22,'Raw data'!U27)</x:f>
        <x:v>3.1776437161565096e-14</x:v>
      </x:c>
      <x:c r="I61" s="6" t="n">
        <x:f>STDEV('Raw data'!V7,'Raw data'!V12,'Raw data'!V17,'Raw data'!V22,'Raw data'!V27)</x:f>
        <x:v>0.00210043472251952</x:v>
      </x:c>
      <x:c r="J61" s="6" t="n">
        <x:f>STDEV('Raw data'!W7,'Raw data'!W12,'Raw data'!W17,'Raw data'!W22,'Raw data'!W27)</x:f>
        <x:v>0.00002922928541206955</x:v>
      </x:c>
      <x:c r="K61" s="6" t="n">
        <x:f>STDEV('Raw data'!X7,'Raw data'!X12,'Raw data'!X17,'Raw data'!X22,'Raw data'!X27)*100</x:f>
        <x:v>0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 t="n">
        <x:v>1024</x:v>
      </x:c>
      <x:c r="B62" s="6" t="n">
        <x:f>AVERAGE('Raw data'!T8,'Raw data'!T13,'Raw data'!T18,'Raw data'!T23,'Raw data'!T28)</x:f>
        <x:v>235.6851168</x:v>
      </x:c>
      <x:c r="C62" s="6" t="n">
        <x:f>AVERAGE('Raw data'!U8,'Raw data'!U13,'Raw data'!U18,'Raw data'!U23,'Raw data'!U28)</x:f>
        <x:v>231.06383999999997</x:v>
      </x:c>
      <x:c r="D62" s="6" t="n">
        <x:f>AVERAGE('Raw data'!V8,'Raw data'!V13,'Raw data'!V18,'Raw data'!V23,'Raw data'!V28)</x:f>
        <x:v>36.93553773800001</x:v>
      </x:c>
      <x:c r="E62" s="6" t="n">
        <x:f>AVERAGE('Raw data'!W8,'Raw data'!W13,'Raw data'!W18,'Raw data'!W23,'Raw data'!W28)</x:f>
        <x:v>0.08701761779999999</x:v>
      </x:c>
      <x:c r="F62" s="7" t="n">
        <x:f>AVERAGE('Raw data'!X8,'Raw data'!X13,'Raw data'!X18,'Raw data'!X23,'Raw data'!X28)*100</x:f>
        <x:v>7.5743457</x:v>
      </x:c>
      <x:c r="G62" s="6" t="n">
        <x:f>STDEV('Raw data'!T8,'Raw data'!T13,'Raw data'!T18,'Raw data'!T23,'Raw data'!T28)</x:f>
        <x:v>0</x:v>
      </x:c>
      <x:c r="H62" s="6" t="n">
        <x:f>STDEV('Raw data'!U8,'Raw data'!U13,'Raw data'!U18,'Raw data'!U23,'Raw data'!U28)</x:f>
        <x:v>3.1776437161565096e-14</x:v>
      </x:c>
      <x:c r="I62" s="6" t="n">
        <x:f>STDEV('Raw data'!V8,'Raw data'!V13,'Raw data'!V18,'Raw data'!V23,'Raw data'!V28)</x:f>
        <x:v>0.0036052622072137715</x:v>
      </x:c>
      <x:c r="J62" s="6" t="n">
        <x:f>STDEV('Raw data'!W8,'Raw data'!W13,'Raw data'!W18,'Raw data'!W23,'Raw data'!W28)</x:f>
        <x:v>0.000035011485468343945</x:v>
      </x:c>
      <x:c r="K62" s="6" t="n">
        <x:f>STDEV('Raw data'!X8,'Raw data'!X13,'Raw data'!X18,'Raw data'!X23,'Raw data'!X28)*100</x:f>
        <x:v>0</x:v>
      </x:c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 t="str">
        <x:v>Larger buffers increase delay substantially, with a small goodput gain and a small loss reduction.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 t="str">
        <x:v>The 250 Mbps offered load exceeds observed goodput (approximately 230–231 Mbps).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 t="str">
        <x:v>Results apply to this overload scenario. The drain-check execution is excluded from means and SD.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8" t="str">
        <x:v>Method and interpretation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 t="str">
        <x:v>Sources: /home/dinos/ns-allinone-3.47/ns-3.47/experiments/execution_98 through execution_103/batch_dataset.csv.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 t="str">
        <x:v>25 campaign observations: five buffer sizes, seed 42 and runs 1–5 (executions 98–102).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 t="str">
        <x:v>Raw data rows 29–33 contain execution 103, run 1 with drain 5 s; these rows are excluded from mean/SD formulas.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 t="str">
        <x:v>Drain check: every configuration differed from execution 98 only in drain (2 to 5 s). All reported metrics matched.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 t="str">
        <x:v>Five runs describe observed variation; ±1 sample SD is not a confidence interval. Small error bars may be invisible.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  <x:row r="76">
      <x:c r="A76" t="str">
        <x:v>Single stationary UE, UDP uplink, Friis without fading/shadowing; uplink power control disabled.</x:v>
      </x:c>
    </x:row>
    <x:row r="77">
      <x:c r="A77" t="str">
        <x:v>The simulator includes the scheduling-request correction and the local TDD MIB/SIB fix from 2026-10-04.</x:v>
      </x:c>
    </x:row>
    <x:row r="78">
      <x:c r="A78" t="str">
        <x:v>1 KiB = 1024 bytes. Buffer settings: 65536, 131072, 262144, 524288, 1048576 bytes.</x:v>
      </x:c>
    </x:row>
    <x:row r="79">
      <x:c r="A79" t="str">
        <x:v>Offered payload load is fixed at 250 Mbps for this series to examine buffers under overload.</x:v>
      </x:c>
    </x:row>
    <x:row r="80">
      <x:c r="A80" t="str">
        <x:v>This differs from the 200 Mbps baseline in several other parameter sweeps; avoid direct causal ranking across loads.</x:v>
      </x:c>
    </x:row>
    <x:row r="81">
      <x:c r="A81" t="str">
        <x:v>Throughput includes IP/UDP headers; goodput counts payload. For 1400 B payload, the ratio is 1428/1400 = 1.02.</x:v>
      </x:c>
    </x:row>
    <x:row r="82">
      <x:c r="A82" t="str">
        <x:v>Rates use the 10 s application window and count packets received during drain. They are not peak capacity estimates.</x:v>
      </x:c>
    </x:row>
    <x:row r="83">
      <x:c r="A83" t="str">
        <x:v>Loss = (tx_packets - rx_packets) / tx_packets after drain. Delay and jitter describe received packets only.</x:v>
      </x:c>
    </x:row>
    <x:row r="84">
      <x:c r="A84" t="str">
        <x:v>No extra packets arrived with the longer drain in the tested repeat; loss counts alone do not identify RLC drops.</x:v>
      </x:c>
    </x:row>
    <x:row r="85">
      <x:c r="A85" t="str">
        <x:v>Larger buffers permit longer queueing; observed delay rises from about 4.14 ms to 36.94 ms.</x:v>
      </x:c>
    </x:row>
    <x:row r="86">
      <x:c r="A86" t="str">
        <x:v>The goodput increase includes any additional buffered packets delivered during drain, with the same 10 s denominator.</x:v>
      </x:c>
    </x:row>
    <x:row r="87">
      <x:c r="A87" t="str">
        <x:v>Do not interpret a small goodput gain as an increase in the physical link capacity.</x:v>
      </x:c>
    </x:row>
    <x:row r="88">
      <x:c r="A88" t="str">
        <x:v>Jitter differences are small in absolute terms; inspect SD and the expanded vertical scale before interpreting them.</x:v>
      </x:c>
    </x:row>
    <x:row r="89">
      <x:c r="A89" t="str">
        <x:v>Lines connect tested values as visual guides. No universal optimal buffer size is established by this campaign.</x:v>
      </x:c>
    </x:row>
  </x:sheetData>
  <x:pageMargins left="0.7" right="0.7" top="0.75" bottom="0.75" header="0.3" footer="0.3"/>
  <x:drawing xmlns:r="http://schemas.openxmlformats.org/officeDocument/2006/relationships" r:id="Rc60f57a5da7749e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1" hidden="0" customWidth="1"/>
    <x:col min="3" max="3" width="21" hidden="0" customWidth="1"/>
    <x:col min="4" max="4" width="38" hidden="0" customWidth="1"/>
    <x:col min="5" max="5" width="38" hidden="0" customWidth="1"/>
    <x:col min="6" max="6" width="38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</x:cols>
  <x:sheetData>
    <x:row r="1" ht="21" customHeight="1">
      <x:c r="A1" s="1" t="str">
        <x:v>Sources: n8n executions 98–102; execution 103 below is drain validation only (runs 1–5, drain 2 s).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48" customHeight="1">
      <x:c r="A3" s="4" t="str">
        <x:v>status</x:v>
      </x:c>
      <x:c r="B3" s="4" t="str">
        <x:v>experiment_index</x:v>
      </x:c>
      <x:c r="C3" s="4" t="str">
        <x:v>experiment_id</x:v>
      </x:c>
      <x:c r="D3" s="4" t="str">
        <x:v>n8n_execution_id</x:v>
      </x:c>
      <x:c r="E3" s="4" t="str">
        <x:v>data_source</x:v>
      </x:c>
      <x:c r="F3" s="4" t="str">
        <x:v>config_path</x:v>
      </x:c>
      <x:c r="G3" s="4" t="str">
        <x:v>results_path</x:v>
      </x:c>
      <x:c r="H3" s="4" t="str">
        <x:v>experiment_dir</x:v>
      </x:c>
      <x:c r="I3" s="4" t="str">
        <x:v>ue_distance_2d_m</x:v>
      </x:c>
      <x:c r="J3" s="4" t="str">
        <x:v>ue_distance_3d_m</x:v>
      </x:c>
      <x:c r="K3" s="4" t="str">
        <x:v>ue_tx_power_dbm</x:v>
      </x:c>
      <x:c r="L3" s="4" t="str">
        <x:v>offered_load_mbps</x:v>
      </x:c>
      <x:c r="M3" s="4" t="str">
        <x:v>bandwidth_hz</x:v>
      </x:c>
      <x:c r="N3" s="4" t="str">
        <x:v>numerology</x:v>
      </x:c>
      <x:c r="O3" s="4" t="str">
        <x:v>tdd_pattern</x:v>
      </x:c>
      <x:c r="P3" s="4" t="str">
        <x:v>packet_size_bytes</x:v>
      </x:c>
      <x:c r="Q3" s="4" t="str">
        <x:v>rlc_buffer_size_bytes</x:v>
      </x:c>
      <x:c r="R3" s="4" t="str">
        <x:v>rng_seed</x:v>
      </x:c>
      <x:c r="S3" s="4" t="str">
        <x:v>rng_run</x:v>
      </x:c>
      <x:c r="T3" s="4" t="str">
        <x:v>throughput_mbps</x:v>
      </x:c>
      <x:c r="U3" s="4" t="str">
        <x:v>app_goodput_mbps</x:v>
      </x:c>
      <x:c r="V3" s="4" t="str">
        <x:v>end_to_end_delay_ms</x:v>
      </x:c>
      <x:c r="W3" s="4" t="str">
        <x:v>jitter_ms</x:v>
      </x:c>
      <x:c r="X3" s="4" t="str">
        <x:v>loss_fraction</x:v>
      </x:c>
      <x:c r="Y3" s="4" t="str">
        <x:v>tx_packets</x:v>
      </x:c>
      <x:c r="Z3" s="4" t="str">
        <x:v>rx_packets</x:v>
      </x:c>
      <x:c r="AA3" s="4" t="str">
        <x:v>ip_rx_bytes</x:v>
      </x:c>
      <x:c r="AB3" s="4" t="str">
        <x:v>unreceived_packets_after_drain</x:v>
      </x:c>
    </x:row>
    <x:row r="4" ht="21" customHeight="1">
      <x:c r="A4" s="1" t="str">
        <x:v>success</x:v>
      </x:c>
      <x:c r="B4" s="1" t="n">
        <x:v>1</x:v>
      </x:c>
      <x:c r="C4" s="1" t="str">
        <x:v>rlc_64kib_run_1</x:v>
      </x:c>
      <x:c r="D4" s="1" t="n">
        <x:v>98</x:v>
      </x:c>
      <x:c r="E4" s="1" t="str">
        <x:v>ns3</x:v>
      </x:c>
      <x:c r="F4" s="1" t="str">
        <x:v>experiments/execution_98/experiment_1/config.json</x:v>
      </x:c>
      <x:c r="G4" s="1" t="str">
        <x:v>experiments/execution_98/experiment_1/results.json</x:v>
      </x:c>
      <x:c r="H4" s="1" t="str">
        <x:v>/home/dinos/ns-allinone-3.47/ns-3.47/experiments/execution_98/experiment_1</x:v>
      </x:c>
      <x:c r="I4" s="1" t="n">
        <x:v>100</x:v>
      </x:c>
      <x:c r="J4" s="1" t="n">
        <x:v>100.3605998</x:v>
      </x:c>
      <x:c r="K4" s="1" t="n">
        <x:v>10</x:v>
      </x:c>
      <x:c r="L4" s="1" t="n">
        <x:v>250</x:v>
      </x:c>
      <x:c r="M4" s="1" t="n">
        <x:v>100000000</x:v>
      </x:c>
      <x:c r="N4" s="1" t="n">
        <x:v>2</x:v>
      </x:c>
      <x:c r="O4" s="1" t="str">
        <x:v>DL|UL|UL|UL|</x:v>
      </x:c>
      <x:c r="P4" s="1" t="n">
        <x:v>1400</x:v>
      </x:c>
      <x:c r="Q4" s="1" t="n">
        <x:v>65536</x:v>
      </x:c>
      <x:c r="R4" s="1" t="n">
        <x:v>42</x:v>
      </x:c>
      <x:c r="S4" s="1" t="n">
        <x:v>1</x:v>
      </x:c>
      <x:c r="T4" s="1" t="n">
        <x:v>234.900288</x:v>
      </x:c>
      <x:c r="U4" s="1" t="n">
        <x:v>230.2944</x:v>
      </x:c>
      <x:c r="V4" s="1" t="n">
        <x:v>4.143858159</x:v>
      </x:c>
      <x:c r="W4" s="1" t="n">
        <x:v>0.087194038</x:v>
      </x:c>
      <x:c r="X4" s="1" t="n">
        <x:v>0.078821221</x:v>
      </x:c>
      <x:c r="Y4" s="1" t="n">
        <x:v>223214</x:v>
      </x:c>
      <x:c r="Z4" s="1" t="n">
        <x:v>205620</x:v>
      </x:c>
      <x:c r="AA4" s="1" t="n">
        <x:v>293625360</x:v>
      </x:c>
      <x:c r="AB4" s="1" t="n">
        <x:v>17594</x:v>
      </x:c>
    </x:row>
    <x:row r="5" ht="21" customHeight="1">
      <x:c r="A5" s="1" t="str">
        <x:v>success</x:v>
      </x:c>
      <x:c r="B5" s="1" t="n">
        <x:v>2</x:v>
      </x:c>
      <x:c r="C5" s="1" t="str">
        <x:v>rlc_128kib_run_1</x:v>
      </x:c>
      <x:c r="D5" s="1" t="n">
        <x:v>98</x:v>
      </x:c>
      <x:c r="E5" s="1" t="str">
        <x:v>ns3</x:v>
      </x:c>
      <x:c r="F5" s="1" t="str">
        <x:v>experiments/execution_98/experiment_2/config.json</x:v>
      </x:c>
      <x:c r="G5" s="1" t="str">
        <x:v>experiments/execution_98/experiment_2/results.json</x:v>
      </x:c>
      <x:c r="H5" s="1" t="str">
        <x:v>/home/dinos/ns-allinone-3.47/ns-3.47/experiments/execution_98/experiment_2</x:v>
      </x:c>
      <x:c r="I5" s="1" t="n">
        <x:v>100</x:v>
      </x:c>
      <x:c r="J5" s="1" t="n">
        <x:v>100.3605998</x:v>
      </x:c>
      <x:c r="K5" s="1" t="n">
        <x:v>10</x:v>
      </x:c>
      <x:c r="L5" s="1" t="n">
        <x:v>250</x:v>
      </x:c>
      <x:c r="M5" s="1" t="n">
        <x:v>100000000</x:v>
      </x:c>
      <x:c r="N5" s="1" t="n">
        <x:v>2</x:v>
      </x:c>
      <x:c r="O5" s="1" t="str">
        <x:v>DL|UL|UL|UL|</x:v>
      </x:c>
      <x:c r="P5" s="1" t="n">
        <x:v>1400</x:v>
      </x:c>
      <x:c r="Q5" s="1" t="n">
        <x:v>131072</x:v>
      </x:c>
      <x:c r="R5" s="1" t="n">
        <x:v>42</x:v>
      </x:c>
      <x:c r="S5" s="1" t="n">
        <x:v>1</x:v>
      </x:c>
      <x:c r="T5" s="1" t="n">
        <x:v>234.9528384</x:v>
      </x:c>
      <x:c r="U5" s="1" t="n">
        <x:v>230.34592</x:v>
      </x:c>
      <x:c r="V5" s="1" t="n">
        <x:v>6.370100096</x:v>
      </x:c>
      <x:c r="W5" s="1" t="n">
        <x:v>0.087168313</x:v>
      </x:c>
      <x:c r="X5" s="1" t="n">
        <x:v>0.078615141</x:v>
      </x:c>
      <x:c r="Y5" s="1" t="n">
        <x:v>223214</x:v>
      </x:c>
      <x:c r="Z5" s="1" t="n">
        <x:v>205666</x:v>
      </x:c>
      <x:c r="AA5" s="1" t="n">
        <x:v>293691048</x:v>
      </x:c>
      <x:c r="AB5" s="1" t="n">
        <x:v>17548</x:v>
      </x:c>
    </x:row>
    <x:row r="6" ht="21" customHeight="1">
      <x:c r="A6" s="1" t="str">
        <x:v>success</x:v>
      </x:c>
      <x:c r="B6" s="1" t="n">
        <x:v>3</x:v>
      </x:c>
      <x:c r="C6" s="1" t="str">
        <x:v>rlc_256kib_run_1</x:v>
      </x:c>
      <x:c r="D6" s="1" t="n">
        <x:v>98</x:v>
      </x:c>
      <x:c r="E6" s="1" t="str">
        <x:v>ns3</x:v>
      </x:c>
      <x:c r="F6" s="1" t="str">
        <x:v>experiments/execution_98/experiment_3/config.json</x:v>
      </x:c>
      <x:c r="G6" s="1" t="str">
        <x:v>experiments/execution_98/experiment_3/results.json</x:v>
      </x:c>
      <x:c r="H6" s="1" t="str">
        <x:v>/home/dinos/ns-allinone-3.47/ns-3.47/experiments/execution_98/experiment_3</x:v>
      </x:c>
      <x:c r="I6" s="1" t="n">
        <x:v>100</x:v>
      </x:c>
      <x:c r="J6" s="1" t="n">
        <x:v>100.3605998</x:v>
      </x:c>
      <x:c r="K6" s="1" t="n">
        <x:v>10</x:v>
      </x:c>
      <x:c r="L6" s="1" t="n">
        <x:v>250</x:v>
      </x:c>
      <x:c r="M6" s="1" t="n">
        <x:v>100000000</x:v>
      </x:c>
      <x:c r="N6" s="1" t="n">
        <x:v>2</x:v>
      </x:c>
      <x:c r="O6" s="1" t="str">
        <x:v>DL|UL|UL|UL|</x:v>
      </x:c>
      <x:c r="P6" s="1" t="n">
        <x:v>1400</x:v>
      </x:c>
      <x:c r="Q6" s="1" t="n">
        <x:v>262144</x:v>
      </x:c>
      <x:c r="R6" s="1" t="n">
        <x:v>42</x:v>
      </x:c>
      <x:c r="S6" s="1" t="n">
        <x:v>1</x:v>
      </x:c>
      <x:c r="T6" s="1" t="n">
        <x:v>235.0579392</x:v>
      </x:c>
      <x:c r="U6" s="1" t="n">
        <x:v>230.44896</x:v>
      </x:c>
      <x:c r="V6" s="1" t="n">
        <x:v>10.81387696</x:v>
      </x:c>
      <x:c r="W6" s="1" t="n">
        <x:v>0.087179466</x:v>
      </x:c>
      <x:c r="X6" s="1" t="n">
        <x:v>0.07820298</x:v>
      </x:c>
      <x:c r="Y6" s="1" t="n">
        <x:v>223214</x:v>
      </x:c>
      <x:c r="Z6" s="1" t="n">
        <x:v>205758</x:v>
      </x:c>
      <x:c r="AA6" s="1" t="n">
        <x:v>293822424</x:v>
      </x:c>
      <x:c r="AB6" s="1" t="n">
        <x:v>17456</x:v>
      </x:c>
    </x:row>
    <x:row r="7" ht="21" customHeight="1">
      <x:c r="A7" s="1" t="str">
        <x:v>success</x:v>
      </x:c>
      <x:c r="B7" s="1" t="n">
        <x:v>4</x:v>
      </x:c>
      <x:c r="C7" s="1" t="str">
        <x:v>rlc_512kib_run_1</x:v>
      </x:c>
      <x:c r="D7" s="1" t="n">
        <x:v>98</x:v>
      </x:c>
      <x:c r="E7" s="1" t="str">
        <x:v>ns3</x:v>
      </x:c>
      <x:c r="F7" s="1" t="str">
        <x:v>experiments/execution_98/experiment_4/config.json</x:v>
      </x:c>
      <x:c r="G7" s="1" t="str">
        <x:v>experiments/execution_98/experiment_4/results.json</x:v>
      </x:c>
      <x:c r="H7" s="1" t="str">
        <x:v>/home/dinos/ns-allinone-3.47/ns-3.47/experiments/execution_98/experiment_4</x:v>
      </x:c>
      <x:c r="I7" s="1" t="n">
        <x:v>100</x:v>
      </x:c>
      <x:c r="J7" s="1" t="n">
        <x:v>100.3605998</x:v>
      </x:c>
      <x:c r="K7" s="1" t="n">
        <x:v>10</x:v>
      </x:c>
      <x:c r="L7" s="1" t="n">
        <x:v>250</x:v>
      </x:c>
      <x:c r="M7" s="1" t="n">
        <x:v>100000000</x:v>
      </x:c>
      <x:c r="N7" s="1" t="n">
        <x:v>2</x:v>
      </x:c>
      <x:c r="O7" s="1" t="str">
        <x:v>DL|UL|UL|UL|</x:v>
      </x:c>
      <x:c r="P7" s="1" t="n">
        <x:v>1400</x:v>
      </x:c>
      <x:c r="Q7" s="1" t="n">
        <x:v>524288</x:v>
      </x:c>
      <x:c r="R7" s="1" t="n">
        <x:v>42</x:v>
      </x:c>
      <x:c r="S7" s="1" t="n">
        <x:v>1</x:v>
      </x:c>
      <x:c r="T7" s="1" t="n">
        <x:v>235.2669984</x:v>
      </x:c>
      <x:c r="U7" s="1" t="n">
        <x:v>230.65392</x:v>
      </x:c>
      <x:c r="V7" s="1" t="n">
        <x:v>19.61893192</x:v>
      </x:c>
      <x:c r="W7" s="1" t="n">
        <x:v>0.087060167</x:v>
      </x:c>
      <x:c r="X7" s="1" t="n">
        <x:v>0.077383139</x:v>
      </x:c>
      <x:c r="Y7" s="1" t="n">
        <x:v>223214</x:v>
      </x:c>
      <x:c r="Z7" s="1" t="n">
        <x:v>205941</x:v>
      </x:c>
      <x:c r="AA7" s="1" t="n">
        <x:v>294083748</x:v>
      </x:c>
      <x:c r="AB7" s="1" t="n">
        <x:v>17273</x:v>
      </x:c>
    </x:row>
    <x:row r="8" ht="21" customHeight="1">
      <x:c r="A8" s="1" t="str">
        <x:v>success</x:v>
      </x:c>
      <x:c r="B8" s="1" t="n">
        <x:v>5</x:v>
      </x:c>
      <x:c r="C8" s="1" t="str">
        <x:v>rlc_1024kib_run_1</x:v>
      </x:c>
      <x:c r="D8" s="1" t="n">
        <x:v>98</x:v>
      </x:c>
      <x:c r="E8" s="1" t="str">
        <x:v>ns3</x:v>
      </x:c>
      <x:c r="F8" s="1" t="str">
        <x:v>experiments/execution_98/experiment_5/config.json</x:v>
      </x:c>
      <x:c r="G8" s="1" t="str">
        <x:v>experiments/execution_98/experiment_5/results.json</x:v>
      </x:c>
      <x:c r="H8" s="1" t="str">
        <x:v>/home/dinos/ns-allinone-3.47/ns-3.47/experiments/execution_98/experiment_5</x:v>
      </x:c>
      <x:c r="I8" s="1" t="n">
        <x:v>100</x:v>
      </x:c>
      <x:c r="J8" s="1" t="n">
        <x:v>100.3605998</x:v>
      </x:c>
      <x:c r="K8" s="1" t="n">
        <x:v>10</x:v>
      </x:c>
      <x:c r="L8" s="1" t="n">
        <x:v>250</x:v>
      </x:c>
      <x:c r="M8" s="1" t="n">
        <x:v>100000000</x:v>
      </x:c>
      <x:c r="N8" s="1" t="n">
        <x:v>2</x:v>
      </x:c>
      <x:c r="O8" s="1" t="str">
        <x:v>DL|UL|UL|UL|</x:v>
      </x:c>
      <x:c r="P8" s="1" t="n">
        <x:v>1400</x:v>
      </x:c>
      <x:c r="Q8" s="1" t="n">
        <x:v>1048576</x:v>
      </x:c>
      <x:c r="R8" s="1" t="n">
        <x:v>42</x:v>
      </x:c>
      <x:c r="S8" s="1" t="n">
        <x:v>1</x:v>
      </x:c>
      <x:c r="T8" s="1" t="n">
        <x:v>235.6851168</x:v>
      </x:c>
      <x:c r="U8" s="1" t="n">
        <x:v>231.06384</x:v>
      </x:c>
      <x:c r="V8" s="1" t="n">
        <x:v>36.93447564</x:v>
      </x:c>
      <x:c r="W8" s="1" t="n">
        <x:v>0.087021471</x:v>
      </x:c>
      <x:c r="X8" s="1" t="n">
        <x:v>0.075743457</x:v>
      </x:c>
      <x:c r="Y8" s="1" t="n">
        <x:v>223214</x:v>
      </x:c>
      <x:c r="Z8" s="1" t="n">
        <x:v>206307</x:v>
      </x:c>
      <x:c r="AA8" s="1" t="n">
        <x:v>294606396</x:v>
      </x:c>
      <x:c r="AB8" s="1" t="n">
        <x:v>16907</x:v>
      </x:c>
    </x:row>
    <x:row r="9" ht="21" customHeight="1">
      <x:c r="A9" s="1" t="str">
        <x:v>success</x:v>
      </x:c>
      <x:c r="B9" s="1" t="n">
        <x:v>1</x:v>
      </x:c>
      <x:c r="C9" s="1" t="str">
        <x:v>rlc_64kib_run_2</x:v>
      </x:c>
      <x:c r="D9" s="1" t="n">
        <x:v>99</x:v>
      </x:c>
      <x:c r="E9" s="1" t="str">
        <x:v>ns3</x:v>
      </x:c>
      <x:c r="F9" s="1" t="str">
        <x:v>experiments/execution_99/experiment_1/config.json</x:v>
      </x:c>
      <x:c r="G9" s="1" t="str">
        <x:v>experiments/execution_99/experiment_1/results.json</x:v>
      </x:c>
      <x:c r="H9" s="1" t="str">
        <x:v>/home/dinos/ns-allinone-3.47/ns-3.47/experiments/execution_99/experiment_1</x:v>
      </x:c>
      <x:c r="I9" s="1" t="n">
        <x:v>100</x:v>
      </x:c>
      <x:c r="J9" s="1" t="n">
        <x:v>100.3605998</x:v>
      </x:c>
      <x:c r="K9" s="1" t="n">
        <x:v>10</x:v>
      </x:c>
      <x:c r="L9" s="1" t="n">
        <x:v>250</x:v>
      </x:c>
      <x:c r="M9" s="1" t="n">
        <x:v>100000000</x:v>
      </x:c>
      <x:c r="N9" s="1" t="n">
        <x:v>2</x:v>
      </x:c>
      <x:c r="O9" s="1" t="str">
        <x:v>DL|UL|UL|UL|</x:v>
      </x:c>
      <x:c r="P9" s="1" t="n">
        <x:v>1400</x:v>
      </x:c>
      <x:c r="Q9" s="1" t="n">
        <x:v>65536</x:v>
      </x:c>
      <x:c r="R9" s="1" t="n">
        <x:v>42</x:v>
      </x:c>
      <x:c r="S9" s="1" t="n">
        <x:v>2</x:v>
      </x:c>
      <x:c r="T9" s="1" t="n">
        <x:v>234.900288</x:v>
      </x:c>
      <x:c r="U9" s="1" t="n">
        <x:v>230.2944</x:v>
      </x:c>
      <x:c r="V9" s="1" t="n">
        <x:v>4.14300183</x:v>
      </x:c>
      <x:c r="W9" s="1" t="n">
        <x:v>0.087158876</x:v>
      </x:c>
      <x:c r="X9" s="1" t="n">
        <x:v>0.078821221</x:v>
      </x:c>
      <x:c r="Y9" s="1" t="n">
        <x:v>223214</x:v>
      </x:c>
      <x:c r="Z9" s="1" t="n">
        <x:v>205620</x:v>
      </x:c>
      <x:c r="AA9" s="1" t="n">
        <x:v>293625360</x:v>
      </x:c>
      <x:c r="AB9" s="1" t="n">
        <x:v>17594</x:v>
      </x:c>
    </x:row>
    <x:row r="10" ht="21" customHeight="1">
      <x:c r="A10" s="1" t="str">
        <x:v>success</x:v>
      </x:c>
      <x:c r="B10" s="1" t="n">
        <x:v>2</x:v>
      </x:c>
      <x:c r="C10" s="1" t="str">
        <x:v>rlc_128kib_run_2</x:v>
      </x:c>
      <x:c r="D10" s="1" t="n">
        <x:v>99</x:v>
      </x:c>
      <x:c r="E10" s="1" t="str">
        <x:v>ns3</x:v>
      </x:c>
      <x:c r="F10" s="1" t="str">
        <x:v>experiments/execution_99/experiment_2/config.json</x:v>
      </x:c>
      <x:c r="G10" s="1" t="str">
        <x:v>experiments/execution_99/experiment_2/results.json</x:v>
      </x:c>
      <x:c r="H10" s="1" t="str">
        <x:v>/home/dinos/ns-allinone-3.47/ns-3.47/experiments/execution_99/experiment_2</x:v>
      </x:c>
      <x:c r="I10" s="1" t="n">
        <x:v>100</x:v>
      </x:c>
      <x:c r="J10" s="1" t="n">
        <x:v>100.3605998</x:v>
      </x:c>
      <x:c r="K10" s="1" t="n">
        <x:v>10</x:v>
      </x:c>
      <x:c r="L10" s="1" t="n">
        <x:v>250</x:v>
      </x:c>
      <x:c r="M10" s="1" t="n">
        <x:v>100000000</x:v>
      </x:c>
      <x:c r="N10" s="1" t="n">
        <x:v>2</x:v>
      </x:c>
      <x:c r="O10" s="1" t="str">
        <x:v>DL|UL|UL|UL|</x:v>
      </x:c>
      <x:c r="P10" s="1" t="n">
        <x:v>1400</x:v>
      </x:c>
      <x:c r="Q10" s="1" t="n">
        <x:v>131072</x:v>
      </x:c>
      <x:c r="R10" s="1" t="n">
        <x:v>42</x:v>
      </x:c>
      <x:c r="S10" s="1" t="n">
        <x:v>2</x:v>
      </x:c>
      <x:c r="T10" s="1" t="n">
        <x:v>234.9528384</x:v>
      </x:c>
      <x:c r="U10" s="1" t="n">
        <x:v>230.34592</x:v>
      </x:c>
      <x:c r="V10" s="1" t="n">
        <x:v>6.370301189</x:v>
      </x:c>
      <x:c r="W10" s="1" t="n">
        <x:v>0.087162226</x:v>
      </x:c>
      <x:c r="X10" s="1" t="n">
        <x:v>0.078615141</x:v>
      </x:c>
      <x:c r="Y10" s="1" t="n">
        <x:v>223214</x:v>
      </x:c>
      <x:c r="Z10" s="1" t="n">
        <x:v>205666</x:v>
      </x:c>
      <x:c r="AA10" s="1" t="n">
        <x:v>293691048</x:v>
      </x:c>
      <x:c r="AB10" s="1" t="n">
        <x:v>17548</x:v>
      </x:c>
    </x:row>
    <x:row r="11" ht="21" customHeight="1">
      <x:c r="A11" s="1" t="str">
        <x:v>success</x:v>
      </x:c>
      <x:c r="B11" s="1" t="n">
        <x:v>3</x:v>
      </x:c>
      <x:c r="C11" s="1" t="str">
        <x:v>rlc_256kib_run_2</x:v>
      </x:c>
      <x:c r="D11" s="1" t="n">
        <x:v>99</x:v>
      </x:c>
      <x:c r="E11" s="1" t="str">
        <x:v>ns3</x:v>
      </x:c>
      <x:c r="F11" s="1" t="str">
        <x:v>experiments/execution_99/experiment_3/config.json</x:v>
      </x:c>
      <x:c r="G11" s="1" t="str">
        <x:v>experiments/execution_99/experiment_3/results.json</x:v>
      </x:c>
      <x:c r="H11" s="1" t="str">
        <x:v>/home/dinos/ns-allinone-3.47/ns-3.47/experiments/execution_99/experiment_3</x:v>
      </x:c>
      <x:c r="I11" s="1" t="n">
        <x:v>100</x:v>
      </x:c>
      <x:c r="J11" s="1" t="n">
        <x:v>100.3605998</x:v>
      </x:c>
      <x:c r="K11" s="1" t="n">
        <x:v>10</x:v>
      </x:c>
      <x:c r="L11" s="1" t="n">
        <x:v>250</x:v>
      </x:c>
      <x:c r="M11" s="1" t="n">
        <x:v>100000000</x:v>
      </x:c>
      <x:c r="N11" s="1" t="n">
        <x:v>2</x:v>
      </x:c>
      <x:c r="O11" s="1" t="str">
        <x:v>DL|UL|UL|UL|</x:v>
      </x:c>
      <x:c r="P11" s="1" t="n">
        <x:v>1400</x:v>
      </x:c>
      <x:c r="Q11" s="1" t="n">
        <x:v>262144</x:v>
      </x:c>
      <x:c r="R11" s="1" t="n">
        <x:v>42</x:v>
      </x:c>
      <x:c r="S11" s="1" t="n">
        <x:v>2</x:v>
      </x:c>
      <x:c r="T11" s="1" t="n">
        <x:v>235.0579392</x:v>
      </x:c>
      <x:c r="U11" s="1" t="n">
        <x:v>230.44896</x:v>
      </x:c>
      <x:c r="V11" s="1" t="n">
        <x:v>10.8149498</x:v>
      </x:c>
      <x:c r="W11" s="1" t="n">
        <x:v>0.087173393</x:v>
      </x:c>
      <x:c r="X11" s="1" t="n">
        <x:v>0.07820298</x:v>
      </x:c>
      <x:c r="Y11" s="1" t="n">
        <x:v>223214</x:v>
      </x:c>
      <x:c r="Z11" s="1" t="n">
        <x:v>205758</x:v>
      </x:c>
      <x:c r="AA11" s="1" t="n">
        <x:v>293822424</x:v>
      </x:c>
      <x:c r="AB11" s="1" t="n">
        <x:v>17456</x:v>
      </x:c>
    </x:row>
    <x:row r="12" ht="21" customHeight="1">
      <x:c r="A12" s="1" t="str">
        <x:v>success</x:v>
      </x:c>
      <x:c r="B12" s="1" t="n">
        <x:v>4</x:v>
      </x:c>
      <x:c r="C12" s="1" t="str">
        <x:v>rlc_512kib_run_2</x:v>
      </x:c>
      <x:c r="D12" s="1" t="n">
        <x:v>99</x:v>
      </x:c>
      <x:c r="E12" s="1" t="str">
        <x:v>ns3</x:v>
      </x:c>
      <x:c r="F12" s="1" t="str">
        <x:v>experiments/execution_99/experiment_4/config.json</x:v>
      </x:c>
      <x:c r="G12" s="1" t="str">
        <x:v>experiments/execution_99/experiment_4/results.json</x:v>
      </x:c>
      <x:c r="H12" s="1" t="str">
        <x:v>/home/dinos/ns-allinone-3.47/ns-3.47/experiments/execution_99/experiment_4</x:v>
      </x:c>
      <x:c r="I12" s="1" t="n">
        <x:v>100</x:v>
      </x:c>
      <x:c r="J12" s="1" t="n">
        <x:v>100.3605998</x:v>
      </x:c>
      <x:c r="K12" s="1" t="n">
        <x:v>10</x:v>
      </x:c>
      <x:c r="L12" s="1" t="n">
        <x:v>250</x:v>
      </x:c>
      <x:c r="M12" s="1" t="n">
        <x:v>100000000</x:v>
      </x:c>
      <x:c r="N12" s="1" t="n">
        <x:v>2</x:v>
      </x:c>
      <x:c r="O12" s="1" t="str">
        <x:v>DL|UL|UL|UL|</x:v>
      </x:c>
      <x:c r="P12" s="1" t="n">
        <x:v>1400</x:v>
      </x:c>
      <x:c r="Q12" s="1" t="n">
        <x:v>524288</x:v>
      </x:c>
      <x:c r="R12" s="1" t="n">
        <x:v>42</x:v>
      </x:c>
      <x:c r="S12" s="1" t="n">
        <x:v>2</x:v>
      </x:c>
      <x:c r="T12" s="1" t="n">
        <x:v>235.2669984</x:v>
      </x:c>
      <x:c r="U12" s="1" t="n">
        <x:v>230.65392</x:v>
      </x:c>
      <x:c r="V12" s="1" t="n">
        <x:v>19.62065487</x:v>
      </x:c>
      <x:c r="W12" s="1" t="n">
        <x:v>0.087077537</x:v>
      </x:c>
      <x:c r="X12" s="1" t="n">
        <x:v>0.077383139</x:v>
      </x:c>
      <x:c r="Y12" s="1" t="n">
        <x:v>223214</x:v>
      </x:c>
      <x:c r="Z12" s="1" t="n">
        <x:v>205941</x:v>
      </x:c>
      <x:c r="AA12" s="1" t="n">
        <x:v>294083748</x:v>
      </x:c>
      <x:c r="AB12" s="1" t="n">
        <x:v>17273</x:v>
      </x:c>
    </x:row>
    <x:row r="13" ht="21" customHeight="1">
      <x:c r="A13" s="1" t="str">
        <x:v>success</x:v>
      </x:c>
      <x:c r="B13" s="1" t="n">
        <x:v>5</x:v>
      </x:c>
      <x:c r="C13" s="1" t="str">
        <x:v>rlc_1024kib_run_2</x:v>
      </x:c>
      <x:c r="D13" s="1" t="n">
        <x:v>99</x:v>
      </x:c>
      <x:c r="E13" s="1" t="str">
        <x:v>ns3</x:v>
      </x:c>
      <x:c r="F13" s="1" t="str">
        <x:v>experiments/execution_99/experiment_5/config.json</x:v>
      </x:c>
      <x:c r="G13" s="1" t="str">
        <x:v>experiments/execution_99/experiment_5/results.json</x:v>
      </x:c>
      <x:c r="H13" s="1" t="str">
        <x:v>/home/dinos/ns-allinone-3.47/ns-3.47/experiments/execution_99/experiment_5</x:v>
      </x:c>
      <x:c r="I13" s="1" t="n">
        <x:v>100</x:v>
      </x:c>
      <x:c r="J13" s="1" t="n">
        <x:v>100.3605998</x:v>
      </x:c>
      <x:c r="K13" s="1" t="n">
        <x:v>10</x:v>
      </x:c>
      <x:c r="L13" s="1" t="n">
        <x:v>250</x:v>
      </x:c>
      <x:c r="M13" s="1" t="n">
        <x:v>100000000</x:v>
      </x:c>
      <x:c r="N13" s="1" t="n">
        <x:v>2</x:v>
      </x:c>
      <x:c r="O13" s="1" t="str">
        <x:v>DL|UL|UL|UL|</x:v>
      </x:c>
      <x:c r="P13" s="1" t="n">
        <x:v>1400</x:v>
      </x:c>
      <x:c r="Q13" s="1" t="n">
        <x:v>1048576</x:v>
      </x:c>
      <x:c r="R13" s="1" t="n">
        <x:v>42</x:v>
      </x:c>
      <x:c r="S13" s="1" t="n">
        <x:v>2</x:v>
      </x:c>
      <x:c r="T13" s="1" t="n">
        <x:v>235.6851168</x:v>
      </x:c>
      <x:c r="U13" s="1" t="n">
        <x:v>231.06384</x:v>
      </x:c>
      <x:c r="V13" s="1" t="n">
        <x:v>36.93728069</x:v>
      </x:c>
      <x:c r="W13" s="1" t="n">
        <x:v>0.086993982</x:v>
      </x:c>
      <x:c r="X13" s="1" t="n">
        <x:v>0.075743457</x:v>
      </x:c>
      <x:c r="Y13" s="1" t="n">
        <x:v>223214</x:v>
      </x:c>
      <x:c r="Z13" s="1" t="n">
        <x:v>206307</x:v>
      </x:c>
      <x:c r="AA13" s="1" t="n">
        <x:v>294606396</x:v>
      </x:c>
      <x:c r="AB13" s="1" t="n">
        <x:v>16907</x:v>
      </x:c>
    </x:row>
    <x:row r="14" ht="21" customHeight="1">
      <x:c r="A14" s="1" t="str">
        <x:v>success</x:v>
      </x:c>
      <x:c r="B14" s="1" t="n">
        <x:v>1</x:v>
      </x:c>
      <x:c r="C14" s="1" t="str">
        <x:v>rlc_64kib_run_3</x:v>
      </x:c>
      <x:c r="D14" s="1" t="n">
        <x:v>100</x:v>
      </x:c>
      <x:c r="E14" s="1" t="str">
        <x:v>ns3</x:v>
      </x:c>
      <x:c r="F14" s="1" t="str">
        <x:v>experiments/execution_100/experiment_1/config.json</x:v>
      </x:c>
      <x:c r="G14" s="1" t="str">
        <x:v>experiments/execution_100/experiment_1/results.json</x:v>
      </x:c>
      <x:c r="H14" s="1" t="str">
        <x:v>/home/dinos/ns-allinone-3.47/ns-3.47/experiments/execution_100/experiment_1</x:v>
      </x:c>
      <x:c r="I14" s="1" t="n">
        <x:v>100</x:v>
      </x:c>
      <x:c r="J14" s="1" t="n">
        <x:v>100.3605998</x:v>
      </x:c>
      <x:c r="K14" s="1" t="n">
        <x:v>10</x:v>
      </x:c>
      <x:c r="L14" s="1" t="n">
        <x:v>250</x:v>
      </x:c>
      <x:c r="M14" s="1" t="n">
        <x:v>100000000</x:v>
      </x:c>
      <x:c r="N14" s="1" t="n">
        <x:v>2</x:v>
      </x:c>
      <x:c r="O14" s="1" t="str">
        <x:v>DL|UL|UL|UL|</x:v>
      </x:c>
      <x:c r="P14" s="1" t="n">
        <x:v>1400</x:v>
      </x:c>
      <x:c r="Q14" s="1" t="n">
        <x:v>65536</x:v>
      </x:c>
      <x:c r="R14" s="1" t="n">
        <x:v>42</x:v>
      </x:c>
      <x:c r="S14" s="1" t="n">
        <x:v>3</x:v>
      </x:c>
      <x:c r="T14" s="1" t="n">
        <x:v>234.900288</x:v>
      </x:c>
      <x:c r="U14" s="1" t="n">
        <x:v>230.2944</x:v>
      </x:c>
      <x:c r="V14" s="1" t="n">
        <x:v>4.141536529</x:v>
      </x:c>
      <x:c r="W14" s="1" t="n">
        <x:v>0.087147249</x:v>
      </x:c>
      <x:c r="X14" s="1" t="n">
        <x:v>0.078821221</x:v>
      </x:c>
      <x:c r="Y14" s="1" t="n">
        <x:v>223214</x:v>
      </x:c>
      <x:c r="Z14" s="1" t="n">
        <x:v>205620</x:v>
      </x:c>
      <x:c r="AA14" s="1" t="n">
        <x:v>293625360</x:v>
      </x:c>
      <x:c r="AB14" s="1" t="n">
        <x:v>17594</x:v>
      </x:c>
    </x:row>
    <x:row r="15" ht="21" customHeight="1">
      <x:c r="A15" s="1" t="str">
        <x:v>success</x:v>
      </x:c>
      <x:c r="B15" s="1" t="n">
        <x:v>2</x:v>
      </x:c>
      <x:c r="C15" s="1" t="str">
        <x:v>rlc_128kib_run_3</x:v>
      </x:c>
      <x:c r="D15" s="1" t="n">
        <x:v>100</x:v>
      </x:c>
      <x:c r="E15" s="1" t="str">
        <x:v>ns3</x:v>
      </x:c>
      <x:c r="F15" s="1" t="str">
        <x:v>experiments/execution_100/experiment_2/config.json</x:v>
      </x:c>
      <x:c r="G15" s="1" t="str">
        <x:v>experiments/execution_100/experiment_2/results.json</x:v>
      </x:c>
      <x:c r="H15" s="1" t="str">
        <x:v>/home/dinos/ns-allinone-3.47/ns-3.47/experiments/execution_100/experiment_2</x:v>
      </x:c>
      <x:c r="I15" s="1" t="n">
        <x:v>100</x:v>
      </x:c>
      <x:c r="J15" s="1" t="n">
        <x:v>100.3605998</x:v>
      </x:c>
      <x:c r="K15" s="1" t="n">
        <x:v>10</x:v>
      </x:c>
      <x:c r="L15" s="1" t="n">
        <x:v>250</x:v>
      </x:c>
      <x:c r="M15" s="1" t="n">
        <x:v>100000000</x:v>
      </x:c>
      <x:c r="N15" s="1" t="n">
        <x:v>2</x:v>
      </x:c>
      <x:c r="O15" s="1" t="str">
        <x:v>DL|UL|UL|UL|</x:v>
      </x:c>
      <x:c r="P15" s="1" t="n">
        <x:v>1400</x:v>
      </x:c>
      <x:c r="Q15" s="1" t="n">
        <x:v>131072</x:v>
      </x:c>
      <x:c r="R15" s="1" t="n">
        <x:v>42</x:v>
      </x:c>
      <x:c r="S15" s="1" t="n">
        <x:v>3</x:v>
      </x:c>
      <x:c r="T15" s="1" t="n">
        <x:v>234.9528384</x:v>
      </x:c>
      <x:c r="U15" s="1" t="n">
        <x:v>230.34592</x:v>
      </x:c>
      <x:c r="V15" s="1" t="n">
        <x:v>6.370536101</x:v>
      </x:c>
      <x:c r="W15" s="1" t="n">
        <x:v>0.08714724</x:v>
      </x:c>
      <x:c r="X15" s="1" t="n">
        <x:v>0.078615141</x:v>
      </x:c>
      <x:c r="Y15" s="1" t="n">
        <x:v>223214</x:v>
      </x:c>
      <x:c r="Z15" s="1" t="n">
        <x:v>205666</x:v>
      </x:c>
      <x:c r="AA15" s="1" t="n">
        <x:v>293691048</x:v>
      </x:c>
      <x:c r="AB15" s="1" t="n">
        <x:v>17548</x:v>
      </x:c>
    </x:row>
    <x:row r="16" ht="21" customHeight="1">
      <x:c r="A16" s="1" t="str">
        <x:v>success</x:v>
      </x:c>
      <x:c r="B16" s="1" t="n">
        <x:v>3</x:v>
      </x:c>
      <x:c r="C16" s="1" t="str">
        <x:v>rlc_256kib_run_3</x:v>
      </x:c>
      <x:c r="D16" s="1" t="n">
        <x:v>100</x:v>
      </x:c>
      <x:c r="E16" s="1" t="str">
        <x:v>ns3</x:v>
      </x:c>
      <x:c r="F16" s="1" t="str">
        <x:v>experiments/execution_100/experiment_3/config.json</x:v>
      </x:c>
      <x:c r="G16" s="1" t="str">
        <x:v>experiments/execution_100/experiment_3/results.json</x:v>
      </x:c>
      <x:c r="H16" s="1" t="str">
        <x:v>/home/dinos/ns-allinone-3.47/ns-3.47/experiments/execution_100/experiment_3</x:v>
      </x:c>
      <x:c r="I16" s="1" t="n">
        <x:v>100</x:v>
      </x:c>
      <x:c r="J16" s="1" t="n">
        <x:v>100.3605998</x:v>
      </x:c>
      <x:c r="K16" s="1" t="n">
        <x:v>10</x:v>
      </x:c>
      <x:c r="L16" s="1" t="n">
        <x:v>250</x:v>
      </x:c>
      <x:c r="M16" s="1" t="n">
        <x:v>100000000</x:v>
      </x:c>
      <x:c r="N16" s="1" t="n">
        <x:v>2</x:v>
      </x:c>
      <x:c r="O16" s="1" t="str">
        <x:v>DL|UL|UL|UL|</x:v>
      </x:c>
      <x:c r="P16" s="1" t="n">
        <x:v>1400</x:v>
      </x:c>
      <x:c r="Q16" s="1" t="n">
        <x:v>262144</x:v>
      </x:c>
      <x:c r="R16" s="1" t="n">
        <x:v>42</x:v>
      </x:c>
      <x:c r="S16" s="1" t="n">
        <x:v>3</x:v>
      </x:c>
      <x:c r="T16" s="1" t="n">
        <x:v>235.0579392</x:v>
      </x:c>
      <x:c r="U16" s="1" t="n">
        <x:v>230.44896</x:v>
      </x:c>
      <x:c r="V16" s="1" t="n">
        <x:v>10.8136141</x:v>
      </x:c>
      <x:c r="W16" s="1" t="n">
        <x:v>0.087180447</x:v>
      </x:c>
      <x:c r="X16" s="1" t="n">
        <x:v>0.07820298</x:v>
      </x:c>
      <x:c r="Y16" s="1" t="n">
        <x:v>223214</x:v>
      </x:c>
      <x:c r="Z16" s="1" t="n">
        <x:v>205758</x:v>
      </x:c>
      <x:c r="AA16" s="1" t="n">
        <x:v>293822424</x:v>
      </x:c>
      <x:c r="AB16" s="1" t="n">
        <x:v>17456</x:v>
      </x:c>
    </x:row>
    <x:row r="17" ht="21" customHeight="1">
      <x:c r="A17" s="1" t="str">
        <x:v>success</x:v>
      </x:c>
      <x:c r="B17" s="1" t="n">
        <x:v>4</x:v>
      </x:c>
      <x:c r="C17" s="1" t="str">
        <x:v>rlc_512kib_run_3</x:v>
      </x:c>
      <x:c r="D17" s="1" t="n">
        <x:v>100</x:v>
      </x:c>
      <x:c r="E17" s="1" t="str">
        <x:v>ns3</x:v>
      </x:c>
      <x:c r="F17" s="1" t="str">
        <x:v>experiments/execution_100/experiment_4/config.json</x:v>
      </x:c>
      <x:c r="G17" s="1" t="str">
        <x:v>experiments/execution_100/experiment_4/results.json</x:v>
      </x:c>
      <x:c r="H17" s="1" t="str">
        <x:v>/home/dinos/ns-allinone-3.47/ns-3.47/experiments/execution_100/experiment_4</x:v>
      </x:c>
      <x:c r="I17" s="1" t="n">
        <x:v>100</x:v>
      </x:c>
      <x:c r="J17" s="1" t="n">
        <x:v>100.3605998</x:v>
      </x:c>
      <x:c r="K17" s="1" t="n">
        <x:v>10</x:v>
      </x:c>
      <x:c r="L17" s="1" t="n">
        <x:v>250</x:v>
      </x:c>
      <x:c r="M17" s="1" t="n">
        <x:v>100000000</x:v>
      </x:c>
      <x:c r="N17" s="1" t="n">
        <x:v>2</x:v>
      </x:c>
      <x:c r="O17" s="1" t="str">
        <x:v>DL|UL|UL|UL|</x:v>
      </x:c>
      <x:c r="P17" s="1" t="n">
        <x:v>1400</x:v>
      </x:c>
      <x:c r="Q17" s="1" t="n">
        <x:v>524288</x:v>
      </x:c>
      <x:c r="R17" s="1" t="n">
        <x:v>42</x:v>
      </x:c>
      <x:c r="S17" s="1" t="n">
        <x:v>3</x:v>
      </x:c>
      <x:c r="T17" s="1" t="n">
        <x:v>235.2669984</x:v>
      </x:c>
      <x:c r="U17" s="1" t="n">
        <x:v>230.65392</x:v>
      </x:c>
      <x:c r="V17" s="1" t="n">
        <x:v>19.61828179</x:v>
      </x:c>
      <x:c r="W17" s="1" t="n">
        <x:v>0.087097964</x:v>
      </x:c>
      <x:c r="X17" s="1" t="n">
        <x:v>0.077383139</x:v>
      </x:c>
      <x:c r="Y17" s="1" t="n">
        <x:v>223214</x:v>
      </x:c>
      <x:c r="Z17" s="1" t="n">
        <x:v>205941</x:v>
      </x:c>
      <x:c r="AA17" s="1" t="n">
        <x:v>294083748</x:v>
      </x:c>
      <x:c r="AB17" s="1" t="n">
        <x:v>17273</x:v>
      </x:c>
    </x:row>
    <x:row r="18" ht="21" customHeight="1">
      <x:c r="A18" s="1" t="str">
        <x:v>success</x:v>
      </x:c>
      <x:c r="B18" s="1" t="n">
        <x:v>5</x:v>
      </x:c>
      <x:c r="C18" s="1" t="str">
        <x:v>rlc_1024kib_run_3</x:v>
      </x:c>
      <x:c r="D18" s="1" t="n">
        <x:v>100</x:v>
      </x:c>
      <x:c r="E18" s="1" t="str">
        <x:v>ns3</x:v>
      </x:c>
      <x:c r="F18" s="1" t="str">
        <x:v>experiments/execution_100/experiment_5/config.json</x:v>
      </x:c>
      <x:c r="G18" s="1" t="str">
        <x:v>experiments/execution_100/experiment_5/results.json</x:v>
      </x:c>
      <x:c r="H18" s="1" t="str">
        <x:v>/home/dinos/ns-allinone-3.47/ns-3.47/experiments/execution_100/experiment_5</x:v>
      </x:c>
      <x:c r="I18" s="1" t="n">
        <x:v>100</x:v>
      </x:c>
      <x:c r="J18" s="1" t="n">
        <x:v>100.3605998</x:v>
      </x:c>
      <x:c r="K18" s="1" t="n">
        <x:v>10</x:v>
      </x:c>
      <x:c r="L18" s="1" t="n">
        <x:v>250</x:v>
      </x:c>
      <x:c r="M18" s="1" t="n">
        <x:v>100000000</x:v>
      </x:c>
      <x:c r="N18" s="1" t="n">
        <x:v>2</x:v>
      </x:c>
      <x:c r="O18" s="1" t="str">
        <x:v>DL|UL|UL|UL|</x:v>
      </x:c>
      <x:c r="P18" s="1" t="n">
        <x:v>1400</x:v>
      </x:c>
      <x:c r="Q18" s="1" t="n">
        <x:v>1048576</x:v>
      </x:c>
      <x:c r="R18" s="1" t="n">
        <x:v>42</x:v>
      </x:c>
      <x:c r="S18" s="1" t="n">
        <x:v>3</x:v>
      </x:c>
      <x:c r="T18" s="1" t="n">
        <x:v>235.6851168</x:v>
      </x:c>
      <x:c r="U18" s="1" t="n">
        <x:v>231.06384</x:v>
      </x:c>
      <x:c r="V18" s="1" t="n">
        <x:v>36.92968554</x:v>
      </x:c>
      <x:c r="W18" s="1" t="n">
        <x:v>0.087025986</x:v>
      </x:c>
      <x:c r="X18" s="1" t="n">
        <x:v>0.075743457</x:v>
      </x:c>
      <x:c r="Y18" s="1" t="n">
        <x:v>223214</x:v>
      </x:c>
      <x:c r="Z18" s="1" t="n">
        <x:v>206307</x:v>
      </x:c>
      <x:c r="AA18" s="1" t="n">
        <x:v>294606396</x:v>
      </x:c>
      <x:c r="AB18" s="1" t="n">
        <x:v>16907</x:v>
      </x:c>
    </x:row>
    <x:row r="19" ht="21" customHeight="1">
      <x:c r="A19" s="1" t="str">
        <x:v>success</x:v>
      </x:c>
      <x:c r="B19" s="1" t="n">
        <x:v>1</x:v>
      </x:c>
      <x:c r="C19" s="1" t="str">
        <x:v>rlc_64kib_run_4</x:v>
      </x:c>
      <x:c r="D19" s="1" t="n">
        <x:v>101</x:v>
      </x:c>
      <x:c r="E19" s="1" t="str">
        <x:v>ns3</x:v>
      </x:c>
      <x:c r="F19" s="1" t="str">
        <x:v>experiments/execution_101/experiment_1/config.json</x:v>
      </x:c>
      <x:c r="G19" s="1" t="str">
        <x:v>experiments/execution_101/experiment_1/results.json</x:v>
      </x:c>
      <x:c r="H19" s="1" t="str">
        <x:v>/home/dinos/ns-allinone-3.47/ns-3.47/experiments/execution_101/experiment_1</x:v>
      </x:c>
      <x:c r="I19" s="1" t="n">
        <x:v>100</x:v>
      </x:c>
      <x:c r="J19" s="1" t="n">
        <x:v>100.3605998</x:v>
      </x:c>
      <x:c r="K19" s="1" t="n">
        <x:v>10</x:v>
      </x:c>
      <x:c r="L19" s="1" t="n">
        <x:v>250</x:v>
      </x:c>
      <x:c r="M19" s="1" t="n">
        <x:v>100000000</x:v>
      </x:c>
      <x:c r="N19" s="1" t="n">
        <x:v>2</x:v>
      </x:c>
      <x:c r="O19" s="1" t="str">
        <x:v>DL|UL|UL|UL|</x:v>
      </x:c>
      <x:c r="P19" s="1" t="n">
        <x:v>1400</x:v>
      </x:c>
      <x:c r="Q19" s="1" t="n">
        <x:v>65536</x:v>
      </x:c>
      <x:c r="R19" s="1" t="n">
        <x:v>42</x:v>
      </x:c>
      <x:c r="S19" s="1" t="n">
        <x:v>4</x:v>
      </x:c>
      <x:c r="T19" s="1" t="n">
        <x:v>234.900288</x:v>
      </x:c>
      <x:c r="U19" s="1" t="n">
        <x:v>230.2944</x:v>
      </x:c>
      <x:c r="V19" s="1" t="n">
        <x:v>4.140608691</x:v>
      </x:c>
      <x:c r="W19" s="1" t="n">
        <x:v>0.087128407</x:v>
      </x:c>
      <x:c r="X19" s="1" t="n">
        <x:v>0.078821221</x:v>
      </x:c>
      <x:c r="Y19" s="1" t="n">
        <x:v>223214</x:v>
      </x:c>
      <x:c r="Z19" s="1" t="n">
        <x:v>205620</x:v>
      </x:c>
      <x:c r="AA19" s="1" t="n">
        <x:v>293625360</x:v>
      </x:c>
      <x:c r="AB19" s="1" t="n">
        <x:v>17594</x:v>
      </x:c>
    </x:row>
    <x:row r="20" ht="21" customHeight="1">
      <x:c r="A20" s="1" t="str">
        <x:v>success</x:v>
      </x:c>
      <x:c r="B20" s="1" t="n">
        <x:v>2</x:v>
      </x:c>
      <x:c r="C20" s="1" t="str">
        <x:v>rlc_128kib_run_4</x:v>
      </x:c>
      <x:c r="D20" s="1" t="n">
        <x:v>101</x:v>
      </x:c>
      <x:c r="E20" s="1" t="str">
        <x:v>ns3</x:v>
      </x:c>
      <x:c r="F20" s="1" t="str">
        <x:v>experiments/execution_101/experiment_2/config.json</x:v>
      </x:c>
      <x:c r="G20" s="1" t="str">
        <x:v>experiments/execution_101/experiment_2/results.json</x:v>
      </x:c>
      <x:c r="H20" s="1" t="str">
        <x:v>/home/dinos/ns-allinone-3.47/ns-3.47/experiments/execution_101/experiment_2</x:v>
      </x:c>
      <x:c r="I20" s="1" t="n">
        <x:v>100</x:v>
      </x:c>
      <x:c r="J20" s="1" t="n">
        <x:v>100.3605998</x:v>
      </x:c>
      <x:c r="K20" s="1" t="n">
        <x:v>10</x:v>
      </x:c>
      <x:c r="L20" s="1" t="n">
        <x:v>250</x:v>
      </x:c>
      <x:c r="M20" s="1" t="n">
        <x:v>100000000</x:v>
      </x:c>
      <x:c r="N20" s="1" t="n">
        <x:v>2</x:v>
      </x:c>
      <x:c r="O20" s="1" t="str">
        <x:v>DL|UL|UL|UL|</x:v>
      </x:c>
      <x:c r="P20" s="1" t="n">
        <x:v>1400</x:v>
      </x:c>
      <x:c r="Q20" s="1" t="n">
        <x:v>131072</x:v>
      </x:c>
      <x:c r="R20" s="1" t="n">
        <x:v>42</x:v>
      </x:c>
      <x:c r="S20" s="1" t="n">
        <x:v>4</x:v>
      </x:c>
      <x:c r="T20" s="1" t="n">
        <x:v>234.9528384</x:v>
      </x:c>
      <x:c r="U20" s="1" t="n">
        <x:v>230.34592</x:v>
      </x:c>
      <x:c r="V20" s="1" t="n">
        <x:v>6.368617978</x:v>
      </x:c>
      <x:c r="W20" s="1" t="n">
        <x:v>0.087118679</x:v>
      </x:c>
      <x:c r="X20" s="1" t="n">
        <x:v>0.078615141</x:v>
      </x:c>
      <x:c r="Y20" s="1" t="n">
        <x:v>223214</x:v>
      </x:c>
      <x:c r="Z20" s="1" t="n">
        <x:v>205666</x:v>
      </x:c>
      <x:c r="AA20" s="1" t="n">
        <x:v>293691048</x:v>
      </x:c>
      <x:c r="AB20" s="1" t="n">
        <x:v>17548</x:v>
      </x:c>
    </x:row>
    <x:row r="21" ht="21" customHeight="1">
      <x:c r="A21" s="1" t="str">
        <x:v>success</x:v>
      </x:c>
      <x:c r="B21" s="1" t="n">
        <x:v>3</x:v>
      </x:c>
      <x:c r="C21" s="1" t="str">
        <x:v>rlc_256kib_run_4</x:v>
      </x:c>
      <x:c r="D21" s="1" t="n">
        <x:v>101</x:v>
      </x:c>
      <x:c r="E21" s="1" t="str">
        <x:v>ns3</x:v>
      </x:c>
      <x:c r="F21" s="1" t="str">
        <x:v>experiments/execution_101/experiment_3/config.json</x:v>
      </x:c>
      <x:c r="G21" s="1" t="str">
        <x:v>experiments/execution_101/experiment_3/results.json</x:v>
      </x:c>
      <x:c r="H21" s="1" t="str">
        <x:v>/home/dinos/ns-allinone-3.47/ns-3.47/experiments/execution_101/experiment_3</x:v>
      </x:c>
      <x:c r="I21" s="1" t="n">
        <x:v>100</x:v>
      </x:c>
      <x:c r="J21" s="1" t="n">
        <x:v>100.3605998</x:v>
      </x:c>
      <x:c r="K21" s="1" t="n">
        <x:v>10</x:v>
      </x:c>
      <x:c r="L21" s="1" t="n">
        <x:v>250</x:v>
      </x:c>
      <x:c r="M21" s="1" t="n">
        <x:v>100000000</x:v>
      </x:c>
      <x:c r="N21" s="1" t="n">
        <x:v>2</x:v>
      </x:c>
      <x:c r="O21" s="1" t="str">
        <x:v>DL|UL|UL|UL|</x:v>
      </x:c>
      <x:c r="P21" s="1" t="n">
        <x:v>1400</x:v>
      </x:c>
      <x:c r="Q21" s="1" t="n">
        <x:v>262144</x:v>
      </x:c>
      <x:c r="R21" s="1" t="n">
        <x:v>42</x:v>
      </x:c>
      <x:c r="S21" s="1" t="n">
        <x:v>4</x:v>
      </x:c>
      <x:c r="T21" s="1" t="n">
        <x:v>235.0579392</x:v>
      </x:c>
      <x:c r="U21" s="1" t="n">
        <x:v>230.44896</x:v>
      </x:c>
      <x:c r="V21" s="1" t="n">
        <x:v>10.81401702</x:v>
      </x:c>
      <x:c r="W21" s="1" t="n">
        <x:v>0.087148799</x:v>
      </x:c>
      <x:c r="X21" s="1" t="n">
        <x:v>0.07820298</x:v>
      </x:c>
      <x:c r="Y21" s="1" t="n">
        <x:v>223214</x:v>
      </x:c>
      <x:c r="Z21" s="1" t="n">
        <x:v>205758</x:v>
      </x:c>
      <x:c r="AA21" s="1" t="n">
        <x:v>293822424</x:v>
      </x:c>
      <x:c r="AB21" s="1" t="n">
        <x:v>17456</x:v>
      </x:c>
    </x:row>
    <x:row r="22" ht="21" customHeight="1">
      <x:c r="A22" s="1" t="str">
        <x:v>success</x:v>
      </x:c>
      <x:c r="B22" s="1" t="n">
        <x:v>4</x:v>
      </x:c>
      <x:c r="C22" s="1" t="str">
        <x:v>rlc_512kib_run_4</x:v>
      </x:c>
      <x:c r="D22" s="1" t="n">
        <x:v>101</x:v>
      </x:c>
      <x:c r="E22" s="1" t="str">
        <x:v>ns3</x:v>
      </x:c>
      <x:c r="F22" s="1" t="str">
        <x:v>experiments/execution_101/experiment_4/config.json</x:v>
      </x:c>
      <x:c r="G22" s="1" t="str">
        <x:v>experiments/execution_101/experiment_4/results.json</x:v>
      </x:c>
      <x:c r="H22" s="1" t="str">
        <x:v>/home/dinos/ns-allinone-3.47/ns-3.47/experiments/execution_101/experiment_4</x:v>
      </x:c>
      <x:c r="I22" s="1" t="n">
        <x:v>100</x:v>
      </x:c>
      <x:c r="J22" s="1" t="n">
        <x:v>100.3605998</x:v>
      </x:c>
      <x:c r="K22" s="1" t="n">
        <x:v>10</x:v>
      </x:c>
      <x:c r="L22" s="1" t="n">
        <x:v>250</x:v>
      </x:c>
      <x:c r="M22" s="1" t="n">
        <x:v>100000000</x:v>
      </x:c>
      <x:c r="N22" s="1" t="n">
        <x:v>2</x:v>
      </x:c>
      <x:c r="O22" s="1" t="str">
        <x:v>DL|UL|UL|UL|</x:v>
      </x:c>
      <x:c r="P22" s="1" t="n">
        <x:v>1400</x:v>
      </x:c>
      <x:c r="Q22" s="1" t="n">
        <x:v>524288</x:v>
      </x:c>
      <x:c r="R22" s="1" t="n">
        <x:v>42</x:v>
      </x:c>
      <x:c r="S22" s="1" t="n">
        <x:v>4</x:v>
      </x:c>
      <x:c r="T22" s="1" t="n">
        <x:v>235.2669984</x:v>
      </x:c>
      <x:c r="U22" s="1" t="n">
        <x:v>230.65392</x:v>
      </x:c>
      <x:c r="V22" s="1" t="n">
        <x:v>19.62367745</x:v>
      </x:c>
      <x:c r="W22" s="1" t="n">
        <x:v>0.087133843</x:v>
      </x:c>
      <x:c r="X22" s="1" t="n">
        <x:v>0.077383139</x:v>
      </x:c>
      <x:c r="Y22" s="1" t="n">
        <x:v>223214</x:v>
      </x:c>
      <x:c r="Z22" s="1" t="n">
        <x:v>205941</x:v>
      </x:c>
      <x:c r="AA22" s="1" t="n">
        <x:v>294083748</x:v>
      </x:c>
      <x:c r="AB22" s="1" t="n">
        <x:v>17273</x:v>
      </x:c>
    </x:row>
    <x:row r="23" ht="21" customHeight="1">
      <x:c r="A23" s="1" t="str">
        <x:v>success</x:v>
      </x:c>
      <x:c r="B23" s="1" t="n">
        <x:v>5</x:v>
      </x:c>
      <x:c r="C23" s="1" t="str">
        <x:v>rlc_1024kib_run_4</x:v>
      </x:c>
      <x:c r="D23" s="1" t="n">
        <x:v>101</x:v>
      </x:c>
      <x:c r="E23" s="1" t="str">
        <x:v>ns3</x:v>
      </x:c>
      <x:c r="F23" s="1" t="str">
        <x:v>experiments/execution_101/experiment_5/config.json</x:v>
      </x:c>
      <x:c r="G23" s="1" t="str">
        <x:v>experiments/execution_101/experiment_5/results.json</x:v>
      </x:c>
      <x:c r="H23" s="1" t="str">
        <x:v>/home/dinos/ns-allinone-3.47/ns-3.47/experiments/execution_101/experiment_5</x:v>
      </x:c>
      <x:c r="I23" s="1" t="n">
        <x:v>100</x:v>
      </x:c>
      <x:c r="J23" s="1" t="n">
        <x:v>100.3605998</x:v>
      </x:c>
      <x:c r="K23" s="1" t="n">
        <x:v>10</x:v>
      </x:c>
      <x:c r="L23" s="1" t="n">
        <x:v>250</x:v>
      </x:c>
      <x:c r="M23" s="1" t="n">
        <x:v>100000000</x:v>
      </x:c>
      <x:c r="N23" s="1" t="n">
        <x:v>2</x:v>
      </x:c>
      <x:c r="O23" s="1" t="str">
        <x:v>DL|UL|UL|UL|</x:v>
      </x:c>
      <x:c r="P23" s="1" t="n">
        <x:v>1400</x:v>
      </x:c>
      <x:c r="Q23" s="1" t="n">
        <x:v>1048576</x:v>
      </x:c>
      <x:c r="R23" s="1" t="n">
        <x:v>42</x:v>
      </x:c>
      <x:c r="S23" s="1" t="n">
        <x:v>4</x:v>
      </x:c>
      <x:c r="T23" s="1" t="n">
        <x:v>235.6851168</x:v>
      </x:c>
      <x:c r="U23" s="1" t="n">
        <x:v>231.06384</x:v>
      </x:c>
      <x:c r="V23" s="1" t="n">
        <x:v>36.93780239</x:v>
      </x:c>
      <x:c r="W23" s="1" t="n">
        <x:v>0.086977529</x:v>
      </x:c>
      <x:c r="X23" s="1" t="n">
        <x:v>0.075743457</x:v>
      </x:c>
      <x:c r="Y23" s="1" t="n">
        <x:v>223214</x:v>
      </x:c>
      <x:c r="Z23" s="1" t="n">
        <x:v>206307</x:v>
      </x:c>
      <x:c r="AA23" s="1" t="n">
        <x:v>294606396</x:v>
      </x:c>
      <x:c r="AB23" s="1" t="n">
        <x:v>16907</x:v>
      </x:c>
    </x:row>
    <x:row r="24" ht="21" customHeight="1">
      <x:c r="A24" s="1" t="str">
        <x:v>success</x:v>
      </x:c>
      <x:c r="B24" s="1" t="n">
        <x:v>1</x:v>
      </x:c>
      <x:c r="C24" s="1" t="str">
        <x:v>rlc_64kib_run_5</x:v>
      </x:c>
      <x:c r="D24" s="1" t="n">
        <x:v>102</x:v>
      </x:c>
      <x:c r="E24" s="1" t="str">
        <x:v>ns3</x:v>
      </x:c>
      <x:c r="F24" s="1" t="str">
        <x:v>experiments/execution_102/experiment_1/config.json</x:v>
      </x:c>
      <x:c r="G24" s="1" t="str">
        <x:v>experiments/execution_102/experiment_1/results.json</x:v>
      </x:c>
      <x:c r="H24" s="1" t="str">
        <x:v>/home/dinos/ns-allinone-3.47/ns-3.47/experiments/execution_102/experiment_1</x:v>
      </x:c>
      <x:c r="I24" s="1" t="n">
        <x:v>100</x:v>
      </x:c>
      <x:c r="J24" s="1" t="n">
        <x:v>100.3605998</x:v>
      </x:c>
      <x:c r="K24" s="1" t="n">
        <x:v>10</x:v>
      </x:c>
      <x:c r="L24" s="1" t="n">
        <x:v>250</x:v>
      </x:c>
      <x:c r="M24" s="1" t="n">
        <x:v>100000000</x:v>
      </x:c>
      <x:c r="N24" s="1" t="n">
        <x:v>2</x:v>
      </x:c>
      <x:c r="O24" s="1" t="str">
        <x:v>DL|UL|UL|UL|</x:v>
      </x:c>
      <x:c r="P24" s="1" t="n">
        <x:v>1400</x:v>
      </x:c>
      <x:c r="Q24" s="1" t="n">
        <x:v>65536</x:v>
      </x:c>
      <x:c r="R24" s="1" t="n">
        <x:v>42</x:v>
      </x:c>
      <x:c r="S24" s="1" t="n">
        <x:v>5</x:v>
      </x:c>
      <x:c r="T24" s="1" t="n">
        <x:v>234.900288</x:v>
      </x:c>
      <x:c r="U24" s="1" t="n">
        <x:v>230.2944</x:v>
      </x:c>
      <x:c r="V24" s="1" t="n">
        <x:v>4.145032905</x:v>
      </x:c>
      <x:c r="W24" s="1" t="n">
        <x:v>0.087217938</x:v>
      </x:c>
      <x:c r="X24" s="1" t="n">
        <x:v>0.078821221</x:v>
      </x:c>
      <x:c r="Y24" s="1" t="n">
        <x:v>223214</x:v>
      </x:c>
      <x:c r="Z24" s="1" t="n">
        <x:v>205620</x:v>
      </x:c>
      <x:c r="AA24" s="1" t="n">
        <x:v>293625360</x:v>
      </x:c>
      <x:c r="AB24" s="1" t="n">
        <x:v>17594</x:v>
      </x:c>
    </x:row>
    <x:row r="25" ht="21" customHeight="1">
      <x:c r="A25" s="1" t="str">
        <x:v>success</x:v>
      </x:c>
      <x:c r="B25" s="1" t="n">
        <x:v>2</x:v>
      </x:c>
      <x:c r="C25" s="1" t="str">
        <x:v>rlc_128kib_run_5</x:v>
      </x:c>
      <x:c r="D25" s="1" t="n">
        <x:v>102</x:v>
      </x:c>
      <x:c r="E25" s="1" t="str">
        <x:v>ns3</x:v>
      </x:c>
      <x:c r="F25" s="1" t="str">
        <x:v>experiments/execution_102/experiment_2/config.json</x:v>
      </x:c>
      <x:c r="G25" s="1" t="str">
        <x:v>experiments/execution_102/experiment_2/results.json</x:v>
      </x:c>
      <x:c r="H25" s="1" t="str">
        <x:v>/home/dinos/ns-allinone-3.47/ns-3.47/experiments/execution_102/experiment_2</x:v>
      </x:c>
      <x:c r="I25" s="1" t="n">
        <x:v>100</x:v>
      </x:c>
      <x:c r="J25" s="1" t="n">
        <x:v>100.3605998</x:v>
      </x:c>
      <x:c r="K25" s="1" t="n">
        <x:v>10</x:v>
      </x:c>
      <x:c r="L25" s="1" t="n">
        <x:v>250</x:v>
      </x:c>
      <x:c r="M25" s="1" t="n">
        <x:v>100000000</x:v>
      </x:c>
      <x:c r="N25" s="1" t="n">
        <x:v>2</x:v>
      </x:c>
      <x:c r="O25" s="1" t="str">
        <x:v>DL|UL|UL|UL|</x:v>
      </x:c>
      <x:c r="P25" s="1" t="n">
        <x:v>1400</x:v>
      </x:c>
      <x:c r="Q25" s="1" t="n">
        <x:v>131072</x:v>
      </x:c>
      <x:c r="R25" s="1" t="n">
        <x:v>42</x:v>
      </x:c>
      <x:c r="S25" s="1" t="n">
        <x:v>5</x:v>
      </x:c>
      <x:c r="T25" s="1" t="n">
        <x:v>234.9528384</x:v>
      </x:c>
      <x:c r="U25" s="1" t="n">
        <x:v>230.34592</x:v>
      </x:c>
      <x:c r="V25" s="1" t="n">
        <x:v>6.371812204</x:v>
      </x:c>
      <x:c r="W25" s="1" t="n">
        <x:v>0.087167064</x:v>
      </x:c>
      <x:c r="X25" s="1" t="n">
        <x:v>0.078615141</x:v>
      </x:c>
      <x:c r="Y25" s="1" t="n">
        <x:v>223214</x:v>
      </x:c>
      <x:c r="Z25" s="1" t="n">
        <x:v>205666</x:v>
      </x:c>
      <x:c r="AA25" s="1" t="n">
        <x:v>293691048</x:v>
      </x:c>
      <x:c r="AB25" s="1" t="n">
        <x:v>17548</x:v>
      </x:c>
    </x:row>
    <x:row r="26" ht="21" customHeight="1">
      <x:c r="A26" s="1" t="str">
        <x:v>success</x:v>
      </x:c>
      <x:c r="B26" s="1" t="n">
        <x:v>3</x:v>
      </x:c>
      <x:c r="C26" s="1" t="str">
        <x:v>rlc_256kib_run_5</x:v>
      </x:c>
      <x:c r="D26" s="1" t="n">
        <x:v>102</x:v>
      </x:c>
      <x:c r="E26" s="1" t="str">
        <x:v>ns3</x:v>
      </x:c>
      <x:c r="F26" s="1" t="str">
        <x:v>experiments/execution_102/experiment_3/config.json</x:v>
      </x:c>
      <x:c r="G26" s="1" t="str">
        <x:v>experiments/execution_102/experiment_3/results.json</x:v>
      </x:c>
      <x:c r="H26" s="1" t="str">
        <x:v>/home/dinos/ns-allinone-3.47/ns-3.47/experiments/execution_102/experiment_3</x:v>
      </x:c>
      <x:c r="I26" s="1" t="n">
        <x:v>100</x:v>
      </x:c>
      <x:c r="J26" s="1" t="n">
        <x:v>100.3605998</x:v>
      </x:c>
      <x:c r="K26" s="1" t="n">
        <x:v>10</x:v>
      </x:c>
      <x:c r="L26" s="1" t="n">
        <x:v>250</x:v>
      </x:c>
      <x:c r="M26" s="1" t="n">
        <x:v>100000000</x:v>
      </x:c>
      <x:c r="N26" s="1" t="n">
        <x:v>2</x:v>
      </x:c>
      <x:c r="O26" s="1" t="str">
        <x:v>DL|UL|UL|UL|</x:v>
      </x:c>
      <x:c r="P26" s="1" t="n">
        <x:v>1400</x:v>
      </x:c>
      <x:c r="Q26" s="1" t="n">
        <x:v>262144</x:v>
      </x:c>
      <x:c r="R26" s="1" t="n">
        <x:v>42</x:v>
      </x:c>
      <x:c r="S26" s="1" t="n">
        <x:v>5</x:v>
      </x:c>
      <x:c r="T26" s="1" t="n">
        <x:v>235.0579392</x:v>
      </x:c>
      <x:c r="U26" s="1" t="n">
        <x:v>230.44896</x:v>
      </x:c>
      <x:c r="V26" s="1" t="n">
        <x:v>10.81256202</x:v>
      </x:c>
      <x:c r="W26" s="1" t="n">
        <x:v>0.087143171</x:v>
      </x:c>
      <x:c r="X26" s="1" t="n">
        <x:v>0.07820298</x:v>
      </x:c>
      <x:c r="Y26" s="1" t="n">
        <x:v>223214</x:v>
      </x:c>
      <x:c r="Z26" s="1" t="n">
        <x:v>205758</x:v>
      </x:c>
      <x:c r="AA26" s="1" t="n">
        <x:v>293822424</x:v>
      </x:c>
      <x:c r="AB26" s="1" t="n">
        <x:v>17456</x:v>
      </x:c>
    </x:row>
    <x:row r="27" ht="21" customHeight="1">
      <x:c r="A27" s="1" t="str">
        <x:v>success</x:v>
      </x:c>
      <x:c r="B27" s="1" t="n">
        <x:v>4</x:v>
      </x:c>
      <x:c r="C27" s="1" t="str">
        <x:v>rlc_512kib_run_5</x:v>
      </x:c>
      <x:c r="D27" s="1" t="n">
        <x:v>102</x:v>
      </x:c>
      <x:c r="E27" s="1" t="str">
        <x:v>ns3</x:v>
      </x:c>
      <x:c r="F27" s="1" t="str">
        <x:v>experiments/execution_102/experiment_4/config.json</x:v>
      </x:c>
      <x:c r="G27" s="1" t="str">
        <x:v>experiments/execution_102/experiment_4/results.json</x:v>
      </x:c>
      <x:c r="H27" s="1" t="str">
        <x:v>/home/dinos/ns-allinone-3.47/ns-3.47/experiments/execution_102/experiment_4</x:v>
      </x:c>
      <x:c r="I27" s="1" t="n">
        <x:v>100</x:v>
      </x:c>
      <x:c r="J27" s="1" t="n">
        <x:v>100.3605998</x:v>
      </x:c>
      <x:c r="K27" s="1" t="n">
        <x:v>10</x:v>
      </x:c>
      <x:c r="L27" s="1" t="n">
        <x:v>250</x:v>
      </x:c>
      <x:c r="M27" s="1" t="n">
        <x:v>100000000</x:v>
      </x:c>
      <x:c r="N27" s="1" t="n">
        <x:v>2</x:v>
      </x:c>
      <x:c r="O27" s="1" t="str">
        <x:v>DL|UL|UL|UL|</x:v>
      </x:c>
      <x:c r="P27" s="1" t="n">
        <x:v>1400</x:v>
      </x:c>
      <x:c r="Q27" s="1" t="n">
        <x:v>524288</x:v>
      </x:c>
      <x:c r="R27" s="1" t="n">
        <x:v>42</x:v>
      </x:c>
      <x:c r="S27" s="1" t="n">
        <x:v>5</x:v>
      </x:c>
      <x:c r="T27" s="1" t="n">
        <x:v>235.2669984</x:v>
      </x:c>
      <x:c r="U27" s="1" t="n">
        <x:v>230.65392</x:v>
      </x:c>
      <x:c r="V27" s="1" t="n">
        <x:v>19.62088566</x:v>
      </x:c>
      <x:c r="W27" s="1" t="n">
        <x:v>0.08711499</x:v>
      </x:c>
      <x:c r="X27" s="1" t="n">
        <x:v>0.077383139</x:v>
      </x:c>
      <x:c r="Y27" s="1" t="n">
        <x:v>223214</x:v>
      </x:c>
      <x:c r="Z27" s="1" t="n">
        <x:v>205941</x:v>
      </x:c>
      <x:c r="AA27" s="1" t="n">
        <x:v>294083748</x:v>
      </x:c>
      <x:c r="AB27" s="1" t="n">
        <x:v>17273</x:v>
      </x:c>
    </x:row>
    <x:row r="28" ht="21" customHeight="1">
      <x:c r="A28" s="1" t="str">
        <x:v>success</x:v>
      </x:c>
      <x:c r="B28" s="1" t="n">
        <x:v>5</x:v>
      </x:c>
      <x:c r="C28" s="1" t="str">
        <x:v>rlc_1024kib_run_5</x:v>
      </x:c>
      <x:c r="D28" s="1" t="n">
        <x:v>102</x:v>
      </x:c>
      <x:c r="E28" s="1" t="str">
        <x:v>ns3</x:v>
      </x:c>
      <x:c r="F28" s="1" t="str">
        <x:v>experiments/execution_102/experiment_5/config.json</x:v>
      </x:c>
      <x:c r="G28" s="1" t="str">
        <x:v>experiments/execution_102/experiment_5/results.json</x:v>
      </x:c>
      <x:c r="H28" s="1" t="str">
        <x:v>/home/dinos/ns-allinone-3.47/ns-3.47/experiments/execution_102/experiment_5</x:v>
      </x:c>
      <x:c r="I28" s="1" t="n">
        <x:v>100</x:v>
      </x:c>
      <x:c r="J28" s="1" t="n">
        <x:v>100.3605998</x:v>
      </x:c>
      <x:c r="K28" s="1" t="n">
        <x:v>10</x:v>
      </x:c>
      <x:c r="L28" s="1" t="n">
        <x:v>250</x:v>
      </x:c>
      <x:c r="M28" s="1" t="n">
        <x:v>100000000</x:v>
      </x:c>
      <x:c r="N28" s="1" t="n">
        <x:v>2</x:v>
      </x:c>
      <x:c r="O28" s="1" t="str">
        <x:v>DL|UL|UL|UL|</x:v>
      </x:c>
      <x:c r="P28" s="1" t="n">
        <x:v>1400</x:v>
      </x:c>
      <x:c r="Q28" s="1" t="n">
        <x:v>1048576</x:v>
      </x:c>
      <x:c r="R28" s="1" t="n">
        <x:v>42</x:v>
      </x:c>
      <x:c r="S28" s="1" t="n">
        <x:v>5</x:v>
      </x:c>
      <x:c r="T28" s="1" t="n">
        <x:v>235.6851168</x:v>
      </x:c>
      <x:c r="U28" s="1" t="n">
        <x:v>231.06384</x:v>
      </x:c>
      <x:c r="V28" s="1" t="n">
        <x:v>36.93844443</x:v>
      </x:c>
      <x:c r="W28" s="1" t="n">
        <x:v>0.087069121</x:v>
      </x:c>
      <x:c r="X28" s="1" t="n">
        <x:v>0.075743457</x:v>
      </x:c>
      <x:c r="Y28" s="1" t="n">
        <x:v>223214</x:v>
      </x:c>
      <x:c r="Z28" s="1" t="n">
        <x:v>206307</x:v>
      </x:c>
      <x:c r="AA28" s="1" t="n">
        <x:v>294606396</x:v>
      </x:c>
      <x:c r="AB28" s="1" t="n">
        <x:v>16907</x:v>
      </x:c>
    </x:row>
    <x:row r="29" ht="21" customHeight="1">
      <x:c r="A29" s="1" t="str">
        <x:v>success</x:v>
      </x:c>
      <x:c r="B29" s="1" t="n">
        <x:v>1</x:v>
      </x:c>
      <x:c r="C29" s="1" t="str">
        <x:v>rlc_64kib_run_1</x:v>
      </x:c>
      <x:c r="D29" s="1" t="n">
        <x:v>103</x:v>
      </x:c>
      <x:c r="E29" s="1" t="str">
        <x:v>ns3</x:v>
      </x:c>
      <x:c r="F29" s="1" t="str">
        <x:v>experiments/execution_103/experiment_1/config.json</x:v>
      </x:c>
      <x:c r="G29" s="1" t="str">
        <x:v>experiments/execution_103/experiment_1/results.json</x:v>
      </x:c>
      <x:c r="H29" s="1" t="str">
        <x:v>/home/dinos/ns-allinone-3.47/ns-3.47/experiments/execution_103/experiment_1</x:v>
      </x:c>
      <x:c r="I29" s="1" t="n">
        <x:v>100</x:v>
      </x:c>
      <x:c r="J29" s="1" t="n">
        <x:v>100.3605998</x:v>
      </x:c>
      <x:c r="K29" s="1" t="n">
        <x:v>10</x:v>
      </x:c>
      <x:c r="L29" s="1" t="n">
        <x:v>250</x:v>
      </x:c>
      <x:c r="M29" s="1" t="n">
        <x:v>100000000</x:v>
      </x:c>
      <x:c r="N29" s="1" t="n">
        <x:v>2</x:v>
      </x:c>
      <x:c r="O29" s="1" t="str">
        <x:v>DL|UL|UL|UL|</x:v>
      </x:c>
      <x:c r="P29" s="1" t="n">
        <x:v>1400</x:v>
      </x:c>
      <x:c r="Q29" s="1" t="n">
        <x:v>65536</x:v>
      </x:c>
      <x:c r="R29" s="1" t="n">
        <x:v>42</x:v>
      </x:c>
      <x:c r="S29" s="1" t="n">
        <x:v>1</x:v>
      </x:c>
      <x:c r="T29" s="1" t="n">
        <x:v>234.900288</x:v>
      </x:c>
      <x:c r="U29" s="1" t="n">
        <x:v>230.2944</x:v>
      </x:c>
      <x:c r="V29" s="1" t="n">
        <x:v>4.143858159</x:v>
      </x:c>
      <x:c r="W29" s="1" t="n">
        <x:v>0.087194038</x:v>
      </x:c>
      <x:c r="X29" s="1" t="n">
        <x:v>0.078821221</x:v>
      </x:c>
      <x:c r="Y29" s="1" t="n">
        <x:v>223214</x:v>
      </x:c>
      <x:c r="Z29" s="1" t="n">
        <x:v>205620</x:v>
      </x:c>
      <x:c r="AA29" s="1" t="n">
        <x:v>293625360</x:v>
      </x:c>
      <x:c r="AB29" s="1" t="n">
        <x:v>17594</x:v>
      </x:c>
    </x:row>
    <x:row r="30" ht="21" customHeight="1">
      <x:c r="A30" s="1" t="str">
        <x:v>success</x:v>
      </x:c>
      <x:c r="B30" s="1" t="n">
        <x:v>2</x:v>
      </x:c>
      <x:c r="C30" s="1" t="str">
        <x:v>rlc_128kib_run_1</x:v>
      </x:c>
      <x:c r="D30" s="1" t="n">
        <x:v>103</x:v>
      </x:c>
      <x:c r="E30" s="1" t="str">
        <x:v>ns3</x:v>
      </x:c>
      <x:c r="F30" s="1" t="str">
        <x:v>experiments/execution_103/experiment_2/config.json</x:v>
      </x:c>
      <x:c r="G30" s="1" t="str">
        <x:v>experiments/execution_103/experiment_2/results.json</x:v>
      </x:c>
      <x:c r="H30" s="1" t="str">
        <x:v>/home/dinos/ns-allinone-3.47/ns-3.47/experiments/execution_103/experiment_2</x:v>
      </x:c>
      <x:c r="I30" s="1" t="n">
        <x:v>100</x:v>
      </x:c>
      <x:c r="J30" s="1" t="n">
        <x:v>100.3605998</x:v>
      </x:c>
      <x:c r="K30" s="1" t="n">
        <x:v>10</x:v>
      </x:c>
      <x:c r="L30" s="1" t="n">
        <x:v>250</x:v>
      </x:c>
      <x:c r="M30" s="1" t="n">
        <x:v>100000000</x:v>
      </x:c>
      <x:c r="N30" s="1" t="n">
        <x:v>2</x:v>
      </x:c>
      <x:c r="O30" s="1" t="str">
        <x:v>DL|UL|UL|UL|</x:v>
      </x:c>
      <x:c r="P30" s="1" t="n">
        <x:v>1400</x:v>
      </x:c>
      <x:c r="Q30" s="1" t="n">
        <x:v>131072</x:v>
      </x:c>
      <x:c r="R30" s="1" t="n">
        <x:v>42</x:v>
      </x:c>
      <x:c r="S30" s="1" t="n">
        <x:v>1</x:v>
      </x:c>
      <x:c r="T30" s="1" t="n">
        <x:v>234.9528384</x:v>
      </x:c>
      <x:c r="U30" s="1" t="n">
        <x:v>230.34592</x:v>
      </x:c>
      <x:c r="V30" s="1" t="n">
        <x:v>6.370100096</x:v>
      </x:c>
      <x:c r="W30" s="1" t="n">
        <x:v>0.087168313</x:v>
      </x:c>
      <x:c r="X30" s="1" t="n">
        <x:v>0.078615141</x:v>
      </x:c>
      <x:c r="Y30" s="1" t="n">
        <x:v>223214</x:v>
      </x:c>
      <x:c r="Z30" s="1" t="n">
        <x:v>205666</x:v>
      </x:c>
      <x:c r="AA30" s="1" t="n">
        <x:v>293691048</x:v>
      </x:c>
      <x:c r="AB30" s="1" t="n">
        <x:v>17548</x:v>
      </x:c>
    </x:row>
    <x:row r="31" ht="21" customHeight="1">
      <x:c r="A31" s="1" t="str">
        <x:v>success</x:v>
      </x:c>
      <x:c r="B31" s="1" t="n">
        <x:v>3</x:v>
      </x:c>
      <x:c r="C31" s="1" t="str">
        <x:v>rlc_256kib_run_1</x:v>
      </x:c>
      <x:c r="D31" s="1" t="n">
        <x:v>103</x:v>
      </x:c>
      <x:c r="E31" s="1" t="str">
        <x:v>ns3</x:v>
      </x:c>
      <x:c r="F31" s="1" t="str">
        <x:v>experiments/execution_103/experiment_3/config.json</x:v>
      </x:c>
      <x:c r="G31" s="1" t="str">
        <x:v>experiments/execution_103/experiment_3/results.json</x:v>
      </x:c>
      <x:c r="H31" s="1" t="str">
        <x:v>/home/dinos/ns-allinone-3.47/ns-3.47/experiments/execution_103/experiment_3</x:v>
      </x:c>
      <x:c r="I31" s="1" t="n">
        <x:v>100</x:v>
      </x:c>
      <x:c r="J31" s="1" t="n">
        <x:v>100.3605998</x:v>
      </x:c>
      <x:c r="K31" s="1" t="n">
        <x:v>10</x:v>
      </x:c>
      <x:c r="L31" s="1" t="n">
        <x:v>250</x:v>
      </x:c>
      <x:c r="M31" s="1" t="n">
        <x:v>100000000</x:v>
      </x:c>
      <x:c r="N31" s="1" t="n">
        <x:v>2</x:v>
      </x:c>
      <x:c r="O31" s="1" t="str">
        <x:v>DL|UL|UL|UL|</x:v>
      </x:c>
      <x:c r="P31" s="1" t="n">
        <x:v>1400</x:v>
      </x:c>
      <x:c r="Q31" s="1" t="n">
        <x:v>262144</x:v>
      </x:c>
      <x:c r="R31" s="1" t="n">
        <x:v>42</x:v>
      </x:c>
      <x:c r="S31" s="1" t="n">
        <x:v>1</x:v>
      </x:c>
      <x:c r="T31" s="1" t="n">
        <x:v>235.0579392</x:v>
      </x:c>
      <x:c r="U31" s="1" t="n">
        <x:v>230.44896</x:v>
      </x:c>
      <x:c r="V31" s="1" t="n">
        <x:v>10.81387696</x:v>
      </x:c>
      <x:c r="W31" s="1" t="n">
        <x:v>0.087179466</x:v>
      </x:c>
      <x:c r="X31" s="1" t="n">
        <x:v>0.07820298</x:v>
      </x:c>
      <x:c r="Y31" s="1" t="n">
        <x:v>223214</x:v>
      </x:c>
      <x:c r="Z31" s="1" t="n">
        <x:v>205758</x:v>
      </x:c>
      <x:c r="AA31" s="1" t="n">
        <x:v>293822424</x:v>
      </x:c>
      <x:c r="AB31" s="1" t="n">
        <x:v>17456</x:v>
      </x:c>
    </x:row>
    <x:row r="32" ht="21" customHeight="1">
      <x:c r="A32" s="1" t="str">
        <x:v>success</x:v>
      </x:c>
      <x:c r="B32" s="1" t="n">
        <x:v>4</x:v>
      </x:c>
      <x:c r="C32" s="1" t="str">
        <x:v>rlc_512kib_run_1</x:v>
      </x:c>
      <x:c r="D32" s="1" t="n">
        <x:v>103</x:v>
      </x:c>
      <x:c r="E32" s="1" t="str">
        <x:v>ns3</x:v>
      </x:c>
      <x:c r="F32" s="1" t="str">
        <x:v>experiments/execution_103/experiment_4/config.json</x:v>
      </x:c>
      <x:c r="G32" s="1" t="str">
        <x:v>experiments/execution_103/experiment_4/results.json</x:v>
      </x:c>
      <x:c r="H32" s="1" t="str">
        <x:v>/home/dinos/ns-allinone-3.47/ns-3.47/experiments/execution_103/experiment_4</x:v>
      </x:c>
      <x:c r="I32" s="1" t="n">
        <x:v>100</x:v>
      </x:c>
      <x:c r="J32" s="1" t="n">
        <x:v>100.3605998</x:v>
      </x:c>
      <x:c r="K32" s="1" t="n">
        <x:v>10</x:v>
      </x:c>
      <x:c r="L32" s="1" t="n">
        <x:v>250</x:v>
      </x:c>
      <x:c r="M32" s="1" t="n">
        <x:v>100000000</x:v>
      </x:c>
      <x:c r="N32" s="1" t="n">
        <x:v>2</x:v>
      </x:c>
      <x:c r="O32" s="1" t="str">
        <x:v>DL|UL|UL|UL|</x:v>
      </x:c>
      <x:c r="P32" s="1" t="n">
        <x:v>1400</x:v>
      </x:c>
      <x:c r="Q32" s="1" t="n">
        <x:v>524288</x:v>
      </x:c>
      <x:c r="R32" s="1" t="n">
        <x:v>42</x:v>
      </x:c>
      <x:c r="S32" s="1" t="n">
        <x:v>1</x:v>
      </x:c>
      <x:c r="T32" s="1" t="n">
        <x:v>235.2669984</x:v>
      </x:c>
      <x:c r="U32" s="1" t="n">
        <x:v>230.65392</x:v>
      </x:c>
      <x:c r="V32" s="1" t="n">
        <x:v>19.61893192</x:v>
      </x:c>
      <x:c r="W32" s="1" t="n">
        <x:v>0.087060167</x:v>
      </x:c>
      <x:c r="X32" s="1" t="n">
        <x:v>0.077383139</x:v>
      </x:c>
      <x:c r="Y32" s="1" t="n">
        <x:v>223214</x:v>
      </x:c>
      <x:c r="Z32" s="1" t="n">
        <x:v>205941</x:v>
      </x:c>
      <x:c r="AA32" s="1" t="n">
        <x:v>294083748</x:v>
      </x:c>
      <x:c r="AB32" s="1" t="n">
        <x:v>17273</x:v>
      </x:c>
    </x:row>
    <x:row r="33" ht="21" customHeight="1">
      <x:c r="A33" s="1" t="str">
        <x:v>success</x:v>
      </x:c>
      <x:c r="B33" s="1" t="n">
        <x:v>5</x:v>
      </x:c>
      <x:c r="C33" s="1" t="str">
        <x:v>rlc_1024kib_run_1</x:v>
      </x:c>
      <x:c r="D33" s="1" t="n">
        <x:v>103</x:v>
      </x:c>
      <x:c r="E33" s="1" t="str">
        <x:v>ns3</x:v>
      </x:c>
      <x:c r="F33" s="1" t="str">
        <x:v>experiments/execution_103/experiment_5/config.json</x:v>
      </x:c>
      <x:c r="G33" s="1" t="str">
        <x:v>experiments/execution_103/experiment_5/results.json</x:v>
      </x:c>
      <x:c r="H33" s="1" t="str">
        <x:v>/home/dinos/ns-allinone-3.47/ns-3.47/experiments/execution_103/experiment_5</x:v>
      </x:c>
      <x:c r="I33" s="1" t="n">
        <x:v>100</x:v>
      </x:c>
      <x:c r="J33" s="1" t="n">
        <x:v>100.3605998</x:v>
      </x:c>
      <x:c r="K33" s="1" t="n">
        <x:v>10</x:v>
      </x:c>
      <x:c r="L33" s="1" t="n">
        <x:v>250</x:v>
      </x:c>
      <x:c r="M33" s="1" t="n">
        <x:v>100000000</x:v>
      </x:c>
      <x:c r="N33" s="1" t="n">
        <x:v>2</x:v>
      </x:c>
      <x:c r="O33" s="1" t="str">
        <x:v>DL|UL|UL|UL|</x:v>
      </x:c>
      <x:c r="P33" s="1" t="n">
        <x:v>1400</x:v>
      </x:c>
      <x:c r="Q33" s="1" t="n">
        <x:v>1048576</x:v>
      </x:c>
      <x:c r="R33" s="1" t="n">
        <x:v>42</x:v>
      </x:c>
      <x:c r="S33" s="1" t="n">
        <x:v>1</x:v>
      </x:c>
      <x:c r="T33" s="1" t="n">
        <x:v>235.6851168</x:v>
      </x:c>
      <x:c r="U33" s="1" t="n">
        <x:v>231.06384</x:v>
      </x:c>
      <x:c r="V33" s="1" t="n">
        <x:v>36.93447564</x:v>
      </x:c>
      <x:c r="W33" s="1" t="n">
        <x:v>0.087021471</x:v>
      </x:c>
      <x:c r="X33" s="1" t="n">
        <x:v>0.075743457</x:v>
      </x:c>
      <x:c r="Y33" s="1" t="n">
        <x:v>223214</x:v>
      </x:c>
      <x:c r="Z33" s="1" t="n">
        <x:v>206307</x:v>
      </x:c>
      <x:c r="AA33" s="1" t="n">
        <x:v>294606396</x:v>
      </x:c>
      <x:c r="AB33" s="1" t="n">
        <x:v>16907</x:v>
      </x:c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</x:sheetData>
  <x:pageMargins left="0.7" right="0.7" top="0.75" bottom="0.75" header="0.3" footer="0.3"/>
</x:worksheet>
</file>