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onst\OneDrive\Desktop\Diplomatiki\Metrics_Simulations\Graphs\"/>
    </mc:Choice>
  </mc:AlternateContent>
  <xr:revisionPtr revIDLastSave="0" documentId="13_ncr:1_{F1C5F556-3A00-45BC-970D-46B63089C6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Σύνοψη" sheetId="1" r:id="rId1"/>
    <sheet name="Σύνοψη δεδομέν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O11" i="1" s="1"/>
  <c r="L11" i="1"/>
  <c r="K11" i="1"/>
  <c r="J11" i="1"/>
  <c r="I11" i="1"/>
  <c r="H11" i="1"/>
  <c r="G11" i="1"/>
  <c r="F11" i="1"/>
  <c r="E11" i="1"/>
  <c r="D11" i="1"/>
  <c r="C11" i="1"/>
  <c r="B11" i="1"/>
  <c r="A11" i="1"/>
  <c r="O10" i="1"/>
  <c r="N10" i="1"/>
  <c r="L10" i="1"/>
  <c r="K10" i="1"/>
  <c r="J10" i="1"/>
  <c r="I10" i="1"/>
  <c r="H10" i="1"/>
  <c r="G10" i="1"/>
  <c r="F10" i="1"/>
  <c r="E10" i="1"/>
  <c r="D10" i="1"/>
  <c r="C10" i="1"/>
  <c r="B10" i="1"/>
  <c r="A10" i="1"/>
  <c r="O9" i="1"/>
  <c r="N9" i="1"/>
  <c r="L9" i="1"/>
  <c r="K9" i="1"/>
  <c r="J9" i="1"/>
  <c r="I9" i="1"/>
  <c r="H9" i="1"/>
  <c r="G9" i="1"/>
  <c r="F9" i="1"/>
  <c r="E9" i="1"/>
  <c r="D9" i="1"/>
  <c r="C9" i="1"/>
  <c r="B9" i="1"/>
  <c r="A9" i="1"/>
  <c r="O8" i="1"/>
  <c r="N8" i="1"/>
  <c r="L8" i="1"/>
  <c r="K8" i="1"/>
  <c r="J8" i="1"/>
  <c r="I8" i="1"/>
  <c r="H8" i="1"/>
  <c r="G8" i="1"/>
  <c r="F8" i="1"/>
  <c r="E8" i="1"/>
  <c r="D8" i="1"/>
  <c r="C8" i="1"/>
  <c r="B8" i="1"/>
  <c r="A8" i="1"/>
  <c r="O7" i="1"/>
  <c r="N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<sst xmlns="http://schemas.openxmlformats.org/spreadsheetml/2006/main" count="373" uniqueCount="182">
  <si>
    <t>Packet interval</t>
  </si>
  <si>
    <t>25 επιτυχείς μετρήσεις. Seed 42, runs 1–5. Μέσος όρος και δειγματική τυπική απόκλιση (SD).</t>
  </si>
  <si>
    <t>Packet interval (μs)</t>
  </si>
  <si>
    <t>n</t>
  </si>
  <si>
    <t>IP throughput (Mbps)</t>
  </si>
  <si>
    <t>SD (Mbps)</t>
  </si>
  <si>
    <t>Goodput (Mbps)</t>
  </si>
  <si>
    <t>Delay (ms)</t>
  </si>
  <si>
    <t>SD (ms)</t>
  </si>
  <si>
    <t>Loss after drain (%)</t>
  </si>
  <si>
    <t>SD (ποσ. μον.)</t>
  </si>
  <si>
    <t>Jitter (ms)</t>
  </si>
  <si>
    <t>Interval (μs)</t>
  </si>
  <si>
    <t>Offered load (Mbps)</t>
  </si>
  <si>
    <t>Γραφήματα: μέσος όρος ±1 SD (όχι διάστημα εμπιστοσύνης). Μηδενική SD: η μπάρα δεν διακρίνεται.</t>
  </si>
  <si>
    <t>Σταθερό payload 1400 bytes: offered load (Mbps) = 1400 × 8 / interval (μs). Μεταβάλλονται μαζί interval και φορτίο.</t>
  </si>
  <si>
    <t>1 UE, 1 gNB, UDP uplink, Friis, χωρίς fading/shadowing. Απόσταση 100 m, UE Tx 10 dBm.</t>
  </si>
  <si>
    <t>Bandwidth 100 MHz, numerology 2, TDD DL|UL|UL|UL|, payload 1400 bytes, RLC UM 1048576 bytes.</t>
  </si>
  <si>
    <t>Application 1–11 s, drain 2 s. Throughput / goodput = παραληφθέντα bytes ×8 /10 s.</t>
  </si>
  <si>
    <t>Το IP throughput περιλαμβάνει headers. Το goodput αφορά payload. Delay/jitter: μόνο παραληφθέντα πακέτα.</t>
  </si>
  <si>
    <t>Απώλειες μετά το drain: ενδέχεται να περιλαμβάνουν πακέτα σε ουρά. Δεν έγινε πρόσθετος έλεγχος μεγαλύτερου drain.</t>
  </si>
  <si>
    <t>Σταθερά: TdmaRR, HARQ ON / 3 retransmissions / 16 processes, Cosine 0 dBi / 0° / 120° horizontal / 360° vertical.</t>
  </si>
  <si>
    <t>Στα 28 μs: offered load 400 Mbps, goodput ≈231.064 Mbps, μη παραληφθέντα μετά το drain ≈42.234%.</t>
  </si>
  <si>
    <t>Στα 56–560 μs: μηδενικά μη παραληφθέντα πακέτα. Στα 560 μs το delay κυμαίνεται 3.199–4.594 ms μεταξύ runs.</t>
  </si>
  <si>
    <t>Η αιτία της διακύμανσης στα 560 μs δεν έχει ακόμη διερευνηθεί με traces.</t>
  </si>
  <si>
    <t>Το interval είναι η ονομαστική ρύθμιση της εφαρμογής, όχι μέτρηση πραγματικών χρονικών αποστάσεων από trace.</t>
  </si>
  <si>
    <t>Συχνότητα 3.5 GHz.</t>
  </si>
  <si>
    <t>status</t>
  </si>
  <si>
    <t>experiment_index</t>
  </si>
  <si>
    <t>experiment_id</t>
  </si>
  <si>
    <t>n8n_execution_id</t>
  </si>
  <si>
    <t>data_source</t>
  </si>
  <si>
    <t>config_path</t>
  </si>
  <si>
    <t>results_path</t>
  </si>
  <si>
    <t>experiment_dir</t>
  </si>
  <si>
    <t>traffic_input_mode</t>
  </si>
  <si>
    <t>packet_interval_requested_us</t>
  </si>
  <si>
    <t>packet_interval_us</t>
  </si>
  <si>
    <t>rlc_mode</t>
  </si>
  <si>
    <t>scheduler_type</t>
  </si>
  <si>
    <t>harq_enabled</t>
  </si>
  <si>
    <t>harq_max_retransmissions</t>
  </si>
  <si>
    <t>harq_processes</t>
  </si>
  <si>
    <t>gnb_antenna_model</t>
  </si>
  <si>
    <t>gnb_antenna_max_gain_dbi</t>
  </si>
  <si>
    <t>gnb_antenna_orientation_deg</t>
  </si>
  <si>
    <t>gnb_antenna_horizontal_beamwidth_deg</t>
  </si>
  <si>
    <t>gnb_antenna_vertical_beamwidth_deg</t>
  </si>
  <si>
    <t>gnb_antenna_effective_gain_toward_ue_db</t>
  </si>
  <si>
    <t>carrier_frequency_hz</t>
  </si>
  <si>
    <t>ue_distance_2d_m</t>
  </si>
  <si>
    <t>ue_distance_3d_m</t>
  </si>
  <si>
    <t>ue_tx_power_dbm</t>
  </si>
  <si>
    <t>offered_load_mbps</t>
  </si>
  <si>
    <t>bandwidth_hz</t>
  </si>
  <si>
    <t>numerology</t>
  </si>
  <si>
    <t>tdd_pattern</t>
  </si>
  <si>
    <t>packet_size_bytes</t>
  </si>
  <si>
    <t>rlc_buffer_size_bytes</t>
  </si>
  <si>
    <t>rng_seed</t>
  </si>
  <si>
    <t>rng_run</t>
  </si>
  <si>
    <t>throughput_mbps</t>
  </si>
  <si>
    <t>app_goodput_mbps</t>
  </si>
  <si>
    <t>end_to_end_delay_ms</t>
  </si>
  <si>
    <t>jitter_ms</t>
  </si>
  <si>
    <t>loss_fraction</t>
  </si>
  <si>
    <t>tx_packets</t>
  </si>
  <si>
    <t>rx_packets</t>
  </si>
  <si>
    <t>ip_rx_bytes</t>
  </si>
  <si>
    <t>unreceived_packets_after_drain</t>
  </si>
  <si>
    <t>source_csv</t>
  </si>
  <si>
    <t>success</t>
  </si>
  <si>
    <t>packet_interval_28us_run_1</t>
  </si>
  <si>
    <t>ns3</t>
  </si>
  <si>
    <t>experiments/execution_201/experiment_1/config.json</t>
  </si>
  <si>
    <t>experiments/execution_201/experiment_1/results.json</t>
  </si>
  <si>
    <t>/home/dinos/ns-allinone-3.47/ns-3.47/experiments/execution_201/experiment_1</t>
  </si>
  <si>
    <t>UM</t>
  </si>
  <si>
    <t>TdmaRR</t>
  </si>
  <si>
    <t>Cosine</t>
  </si>
  <si>
    <t>DL|UL|UL|UL|</t>
  </si>
  <si>
    <t>experiments/execution_201/batch_dataset.csv</t>
  </si>
  <si>
    <t>packet_interval_28us_run_2</t>
  </si>
  <si>
    <t>experiments/execution_202/experiment_1/config.json</t>
  </si>
  <si>
    <t>experiments/execution_202/experiment_1/results.json</t>
  </si>
  <si>
    <t>/home/dinos/ns-allinone-3.47/ns-3.47/experiments/execution_202/experiment_1</t>
  </si>
  <si>
    <t>experiments/execution_202/batch_dataset.csv</t>
  </si>
  <si>
    <t>packet_interval_28us_run_3</t>
  </si>
  <si>
    <t>experiments/execution_203/experiment_1/config.json</t>
  </si>
  <si>
    <t>experiments/execution_203/experiment_1/results.json</t>
  </si>
  <si>
    <t>/home/dinos/ns-allinone-3.47/ns-3.47/experiments/execution_203/experiment_1</t>
  </si>
  <si>
    <t>experiments/execution_203/batch_dataset.csv</t>
  </si>
  <si>
    <t>packet_interval_28us_run_4</t>
  </si>
  <si>
    <t>experiments/execution_204/experiment_1/config.json</t>
  </si>
  <si>
    <t>experiments/execution_204/experiment_1/results.json</t>
  </si>
  <si>
    <t>/home/dinos/ns-allinone-3.47/ns-3.47/experiments/execution_204/experiment_1</t>
  </si>
  <si>
    <t>experiments/execution_204/batch_dataset.csv</t>
  </si>
  <si>
    <t>packet_interval_28us_run_5</t>
  </si>
  <si>
    <t>experiments/execution_205/experiment_1/config.json</t>
  </si>
  <si>
    <t>experiments/execution_205/experiment_1/results.json</t>
  </si>
  <si>
    <t>/home/dinos/ns-allinone-3.47/ns-3.47/experiments/execution_205/experiment_1</t>
  </si>
  <si>
    <t>experiments/execution_205/batch_dataset.csv</t>
  </si>
  <si>
    <t>packet_interval_56us_run_1</t>
  </si>
  <si>
    <t>experiments/execution_201/experiment_2/config.json</t>
  </si>
  <si>
    <t>experiments/execution_201/experiment_2/results.json</t>
  </si>
  <si>
    <t>/home/dinos/ns-allinone-3.47/ns-3.47/experiments/execution_201/experiment_2</t>
  </si>
  <si>
    <t>packet_interval_56us_run_2</t>
  </si>
  <si>
    <t>experiments/execution_202/experiment_2/config.json</t>
  </si>
  <si>
    <t>experiments/execution_202/experiment_2/results.json</t>
  </si>
  <si>
    <t>/home/dinos/ns-allinone-3.47/ns-3.47/experiments/execution_202/experiment_2</t>
  </si>
  <si>
    <t>packet_interval_56us_run_3</t>
  </si>
  <si>
    <t>experiments/execution_203/experiment_2/config.json</t>
  </si>
  <si>
    <t>experiments/execution_203/experiment_2/results.json</t>
  </si>
  <si>
    <t>/home/dinos/ns-allinone-3.47/ns-3.47/experiments/execution_203/experiment_2</t>
  </si>
  <si>
    <t>packet_interval_56us_run_4</t>
  </si>
  <si>
    <t>experiments/execution_204/experiment_2/config.json</t>
  </si>
  <si>
    <t>experiments/execution_204/experiment_2/results.json</t>
  </si>
  <si>
    <t>/home/dinos/ns-allinone-3.47/ns-3.47/experiments/execution_204/experiment_2</t>
  </si>
  <si>
    <t>packet_interval_56us_run_5</t>
  </si>
  <si>
    <t>experiments/execution_205/experiment_2/config.json</t>
  </si>
  <si>
    <t>experiments/execution_205/experiment_2/results.json</t>
  </si>
  <si>
    <t>/home/dinos/ns-allinone-3.47/ns-3.47/experiments/execution_205/experiment_2</t>
  </si>
  <si>
    <t>packet_interval_112us_run_1</t>
  </si>
  <si>
    <t>experiments/execution_201/experiment_3/config.json</t>
  </si>
  <si>
    <t>experiments/execution_201/experiment_3/results.json</t>
  </si>
  <si>
    <t>/home/dinos/ns-allinone-3.47/ns-3.47/experiments/execution_201/experiment_3</t>
  </si>
  <si>
    <t>packet_interval_112us_run_2</t>
  </si>
  <si>
    <t>experiments/execution_202/experiment_3/config.json</t>
  </si>
  <si>
    <t>experiments/execution_202/experiment_3/results.json</t>
  </si>
  <si>
    <t>/home/dinos/ns-allinone-3.47/ns-3.47/experiments/execution_202/experiment_3</t>
  </si>
  <si>
    <t>packet_interval_112us_run_3</t>
  </si>
  <si>
    <t>experiments/execution_203/experiment_3/config.json</t>
  </si>
  <si>
    <t>experiments/execution_203/experiment_3/results.json</t>
  </si>
  <si>
    <t>/home/dinos/ns-allinone-3.47/ns-3.47/experiments/execution_203/experiment_3</t>
  </si>
  <si>
    <t>packet_interval_112us_run_4</t>
  </si>
  <si>
    <t>experiments/execution_204/experiment_3/config.json</t>
  </si>
  <si>
    <t>experiments/execution_204/experiment_3/results.json</t>
  </si>
  <si>
    <t>/home/dinos/ns-allinone-3.47/ns-3.47/experiments/execution_204/experiment_3</t>
  </si>
  <si>
    <t>packet_interval_112us_run_5</t>
  </si>
  <si>
    <t>experiments/execution_205/experiment_3/config.json</t>
  </si>
  <si>
    <t>experiments/execution_205/experiment_3/results.json</t>
  </si>
  <si>
    <t>/home/dinos/ns-allinone-3.47/ns-3.47/experiments/execution_205/experiment_3</t>
  </si>
  <si>
    <t>packet_interval_224us_run_1</t>
  </si>
  <si>
    <t>experiments/execution_201/experiment_4/config.json</t>
  </si>
  <si>
    <t>experiments/execution_201/experiment_4/results.json</t>
  </si>
  <si>
    <t>/home/dinos/ns-allinone-3.47/ns-3.47/experiments/execution_201/experiment_4</t>
  </si>
  <si>
    <t>packet_interval_224us_run_2</t>
  </si>
  <si>
    <t>experiments/execution_202/experiment_4/config.json</t>
  </si>
  <si>
    <t>experiments/execution_202/experiment_4/results.json</t>
  </si>
  <si>
    <t>/home/dinos/ns-allinone-3.47/ns-3.47/experiments/execution_202/experiment_4</t>
  </si>
  <si>
    <t>packet_interval_224us_run_3</t>
  </si>
  <si>
    <t>experiments/execution_203/experiment_4/config.json</t>
  </si>
  <si>
    <t>experiments/execution_203/experiment_4/results.json</t>
  </si>
  <si>
    <t>/home/dinos/ns-allinone-3.47/ns-3.47/experiments/execution_203/experiment_4</t>
  </si>
  <si>
    <t>packet_interval_224us_run_4</t>
  </si>
  <si>
    <t>experiments/execution_204/experiment_4/config.json</t>
  </si>
  <si>
    <t>experiments/execution_204/experiment_4/results.json</t>
  </si>
  <si>
    <t>/home/dinos/ns-allinone-3.47/ns-3.47/experiments/execution_204/experiment_4</t>
  </si>
  <si>
    <t>packet_interval_224us_run_5</t>
  </si>
  <si>
    <t>experiments/execution_205/experiment_4/config.json</t>
  </si>
  <si>
    <t>experiments/execution_205/experiment_4/results.json</t>
  </si>
  <si>
    <t>/home/dinos/ns-allinone-3.47/ns-3.47/experiments/execution_205/experiment_4</t>
  </si>
  <si>
    <t>packet_interval_560us_run_1</t>
  </si>
  <si>
    <t>experiments/execution_201/experiment_5/config.json</t>
  </si>
  <si>
    <t>experiments/execution_201/experiment_5/results.json</t>
  </si>
  <si>
    <t>/home/dinos/ns-allinone-3.47/ns-3.47/experiments/execution_201/experiment_5</t>
  </si>
  <si>
    <t>packet_interval_560us_run_2</t>
  </si>
  <si>
    <t>experiments/execution_202/experiment_5/config.json</t>
  </si>
  <si>
    <t>experiments/execution_202/experiment_5/results.json</t>
  </si>
  <si>
    <t>/home/dinos/ns-allinone-3.47/ns-3.47/experiments/execution_202/experiment_5</t>
  </si>
  <si>
    <t>packet_interval_560us_run_3</t>
  </si>
  <si>
    <t>experiments/execution_203/experiment_5/config.json</t>
  </si>
  <si>
    <t>experiments/execution_203/experiment_5/results.json</t>
  </si>
  <si>
    <t>/home/dinos/ns-allinone-3.47/ns-3.47/experiments/execution_203/experiment_5</t>
  </si>
  <si>
    <t>packet_interval_560us_run_4</t>
  </si>
  <si>
    <t>experiments/execution_204/experiment_5/config.json</t>
  </si>
  <si>
    <t>experiments/execution_204/experiment_5/results.json</t>
  </si>
  <si>
    <t>/home/dinos/ns-allinone-3.47/ns-3.47/experiments/execution_204/experiment_5</t>
  </si>
  <si>
    <t>packet_interval_560us_run_5</t>
  </si>
  <si>
    <t>experiments/execution_205/experiment_5/config.json</t>
  </si>
  <si>
    <t>experiments/execution_205/experiment_5/results.json</t>
  </si>
  <si>
    <t>/home/dinos/ns-allinone-3.47/ns-3.47/experiments/execution_205/experiment_5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</si>
</sst>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###"/>
    <numFmt numFmtId="166" formatCode="0.000000"/>
  </numFmts>
  <fonts count="5">
    <font>
      <sz val="11"/>
      <name val="Carlito"/>
    </font>
    <font>
      <sz val="11"/>
      <color rgb="FF203047"/>
      <name val="Arial"/>
    </font>
    <font>
      <b/>
      <sz val="11"/>
      <color rgb="FFFFFFFF"/>
      <name val="Arial"/>
    </font>
    <font>
      <b/>
      <sz val="17"/>
      <color rgb="FF203047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4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Σύνοψη!$D$7:$D$11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Σύνοψη!$D$7:$D$11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Σύνοψη!$A$7:$A$11</c:f>
              <c:numCache>
                <c:formatCode>0.###</c:formatCode>
                <c:ptCount val="5"/>
                <c:pt idx="0">
                  <c:v>28</c:v>
                </c:pt>
                <c:pt idx="1">
                  <c:v>56</c:v>
                </c:pt>
                <c:pt idx="2">
                  <c:v>112</c:v>
                </c:pt>
                <c:pt idx="3">
                  <c:v>224</c:v>
                </c:pt>
                <c:pt idx="4">
                  <c:v>560</c:v>
                </c:pt>
              </c:numCache>
            </c:numRef>
          </c:xVal>
          <c:yVal>
            <c:numRef>
              <c:f>Σύνοψη!$C$7:$C$11</c:f>
              <c:numCache>
                <c:formatCode>0.000000</c:formatCode>
                <c:ptCount val="5"/>
                <c:pt idx="0">
                  <c:v>235.6851168</c:v>
                </c:pt>
                <c:pt idx="1">
                  <c:v>203.99951039999999</c:v>
                </c:pt>
                <c:pt idx="2">
                  <c:v>101.999184</c:v>
                </c:pt>
                <c:pt idx="3">
                  <c:v>50.999020799999997</c:v>
                </c:pt>
                <c:pt idx="4">
                  <c:v>20.399836799999999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9-40ED-8227-9BF1BC9CF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59.25362848000003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560"/>
          <c:min val="28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Packet interval (</a:t>
                </a:r>
                <a:r>
                  <a:rPr lang="el-GR"/>
                  <a:t>μ</a:t>
                </a:r>
                <a:r>
                  <a:rPr lang="en-GB"/>
                  <a:t>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Goodput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Σύνοψη!$F$7:$F$11</c:f>
                <c:numCache>
                  <c:formatCode>General</c:formatCode>
                  <c:ptCount val="5"/>
                  <c:pt idx="0">
                    <c:v>3.1776437161565096E-14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Σύνοψη!$F$7:$F$11</c:f>
                <c:numCache>
                  <c:formatCode>General</c:formatCode>
                  <c:ptCount val="5"/>
                  <c:pt idx="0">
                    <c:v>3.1776437161565096E-14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Σύνοψη!$A$7:$A$11</c:f>
              <c:numCache>
                <c:formatCode>0.###</c:formatCode>
                <c:ptCount val="5"/>
                <c:pt idx="0">
                  <c:v>28</c:v>
                </c:pt>
                <c:pt idx="1">
                  <c:v>56</c:v>
                </c:pt>
                <c:pt idx="2">
                  <c:v>112</c:v>
                </c:pt>
                <c:pt idx="3">
                  <c:v>224</c:v>
                </c:pt>
                <c:pt idx="4">
                  <c:v>560</c:v>
                </c:pt>
              </c:numCache>
            </c:numRef>
          </c:xVal>
          <c:yVal>
            <c:numRef>
              <c:f>Σύνοψη!$E$7:$E$11</c:f>
              <c:numCache>
                <c:formatCode>0.000000</c:formatCode>
                <c:ptCount val="5"/>
                <c:pt idx="0">
                  <c:v>231.06383999999997</c:v>
                </c:pt>
                <c:pt idx="1">
                  <c:v>199.99951999999999</c:v>
                </c:pt>
                <c:pt idx="2">
                  <c:v>99.999200000000002</c:v>
                </c:pt>
                <c:pt idx="3">
                  <c:v>49.999040000000001</c:v>
                </c:pt>
                <c:pt idx="4">
                  <c:v>19.999839999999999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D-4214-9256-BE3FE520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54.17022400000002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560"/>
          <c:min val="28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Packet interval (</a:t>
                </a:r>
                <a:r>
                  <a:rPr lang="el-GR"/>
                  <a:t>μ</a:t>
                </a:r>
                <a:r>
                  <a:rPr lang="en-GB"/>
                  <a:t>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Delay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Σύνοψη!$H$7:$H$11</c:f>
                <c:numCache>
                  <c:formatCode>General</c:formatCode>
                  <c:ptCount val="5"/>
                  <c:pt idx="0">
                    <c:v>3.0749914260596528E-3</c:v>
                  </c:pt>
                  <c:pt idx="1">
                    <c:v>5.7820638153809742E-3</c:v>
                  </c:pt>
                  <c:pt idx="2">
                    <c:v>2.7323954370312049E-3</c:v>
                  </c:pt>
                  <c:pt idx="3">
                    <c:v>1.5009606763427882E-3</c:v>
                  </c:pt>
                  <c:pt idx="4">
                    <c:v>0.75082123825924929</c:v>
                  </c:pt>
                </c:numCache>
              </c:numRef>
            </c:plus>
            <c:minus>
              <c:numRef>
                <c:f>Σύνοψη!$H$7:$H$11</c:f>
                <c:numCache>
                  <c:formatCode>General</c:formatCode>
                  <c:ptCount val="5"/>
                  <c:pt idx="0">
                    <c:v>3.0749914260596528E-3</c:v>
                  </c:pt>
                  <c:pt idx="1">
                    <c:v>5.7820638153809742E-3</c:v>
                  </c:pt>
                  <c:pt idx="2">
                    <c:v>2.7323954370312049E-3</c:v>
                  </c:pt>
                  <c:pt idx="3">
                    <c:v>1.5009606763427882E-3</c:v>
                  </c:pt>
                  <c:pt idx="4">
                    <c:v>0.75082123825924929</c:v>
                  </c:pt>
                </c:numCache>
              </c:numRef>
            </c:minus>
          </c:errBars>
          <c:xVal>
            <c:numRef>
              <c:f>Σύνοψη!$A$7:$A$11</c:f>
              <c:numCache>
                <c:formatCode>0.###</c:formatCode>
                <c:ptCount val="5"/>
                <c:pt idx="0">
                  <c:v>28</c:v>
                </c:pt>
                <c:pt idx="1">
                  <c:v>56</c:v>
                </c:pt>
                <c:pt idx="2">
                  <c:v>112</c:v>
                </c:pt>
                <c:pt idx="3">
                  <c:v>224</c:v>
                </c:pt>
                <c:pt idx="4">
                  <c:v>560</c:v>
                </c:pt>
              </c:numCache>
            </c:numRef>
          </c:xVal>
          <c:yVal>
            <c:numRef>
              <c:f>Σύνοψη!$G$7:$G$11</c:f>
              <c:numCache>
                <c:formatCode>0.000000</c:formatCode>
                <c:ptCount val="5"/>
                <c:pt idx="0">
                  <c:v>37.623978705999995</c:v>
                </c:pt>
                <c:pt idx="1">
                  <c:v>3.6406464806000001</c:v>
                </c:pt>
                <c:pt idx="2">
                  <c:v>3.5990648823999996</c:v>
                </c:pt>
                <c:pt idx="3">
                  <c:v>3.3171520393999998</c:v>
                </c:pt>
                <c:pt idx="4">
                  <c:v>4.0214547078000003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2E-4A8C-9100-D959E37F7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2.780516731608856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560"/>
          <c:min val="28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Packet interval (</a:t>
                </a:r>
                <a:r>
                  <a:rPr lang="el-GR"/>
                  <a:t>μ</a:t>
                </a:r>
                <a:r>
                  <a:rPr lang="en-GB"/>
                  <a:t>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Σύνοψη!$J$7:$J$11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Σύνοψη!$J$7:$J$11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Σύνοψη!$A$7:$A$11</c:f>
              <c:numCache>
                <c:formatCode>0.###</c:formatCode>
                <c:ptCount val="5"/>
                <c:pt idx="0">
                  <c:v>28</c:v>
                </c:pt>
                <c:pt idx="1">
                  <c:v>56</c:v>
                </c:pt>
                <c:pt idx="2">
                  <c:v>112</c:v>
                </c:pt>
                <c:pt idx="3">
                  <c:v>224</c:v>
                </c:pt>
                <c:pt idx="4">
                  <c:v>560</c:v>
                </c:pt>
              </c:numCache>
            </c:numRef>
          </c:xVal>
          <c:yVal>
            <c:numRef>
              <c:f>Σύνοψη!$I$7:$I$11</c:f>
              <c:numCache>
                <c:formatCode>0.000000</c:formatCode>
                <c:ptCount val="5"/>
                <c:pt idx="0">
                  <c:v>42.233901400000001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11-421C-A48E-147F7E7AC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6.457291540000007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560"/>
          <c:min val="28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Packet interval (</a:t>
                </a:r>
                <a:r>
                  <a:rPr lang="el-GR"/>
                  <a:t>μ</a:t>
                </a:r>
                <a:r>
                  <a:rPr lang="en-GB"/>
                  <a:t>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Jitter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Σύνοψη!$L$7:$L$11</c:f>
                <c:numCache>
                  <c:formatCode>General</c:formatCode>
                  <c:ptCount val="5"/>
                  <c:pt idx="0">
                    <c:v>1.9955016244038183E-5</c:v>
                  </c:pt>
                  <c:pt idx="1">
                    <c:v>4.8868424573540388E-5</c:v>
                  </c:pt>
                  <c:pt idx="2">
                    <c:v>8.6105529661575602E-5</c:v>
                  </c:pt>
                  <c:pt idx="3">
                    <c:v>4.1447671936213854E-4</c:v>
                  </c:pt>
                  <c:pt idx="4">
                    <c:v>0.10849587471139403</c:v>
                  </c:pt>
                </c:numCache>
              </c:numRef>
            </c:plus>
            <c:minus>
              <c:numRef>
                <c:f>Σύνοψη!$L$7:$L$11</c:f>
                <c:numCache>
                  <c:formatCode>General</c:formatCode>
                  <c:ptCount val="5"/>
                  <c:pt idx="0">
                    <c:v>1.9955016244038183E-5</c:v>
                  </c:pt>
                  <c:pt idx="1">
                    <c:v>4.8868424573540388E-5</c:v>
                  </c:pt>
                  <c:pt idx="2">
                    <c:v>8.6105529661575602E-5</c:v>
                  </c:pt>
                  <c:pt idx="3">
                    <c:v>4.1447671936213854E-4</c:v>
                  </c:pt>
                  <c:pt idx="4">
                    <c:v>0.10849587471139403</c:v>
                  </c:pt>
                </c:numCache>
              </c:numRef>
            </c:minus>
          </c:errBars>
          <c:xVal>
            <c:numRef>
              <c:f>Σύνοψη!$A$7:$A$11</c:f>
              <c:numCache>
                <c:formatCode>0.###</c:formatCode>
                <c:ptCount val="5"/>
                <c:pt idx="0">
                  <c:v>28</c:v>
                </c:pt>
                <c:pt idx="1">
                  <c:v>56</c:v>
                </c:pt>
                <c:pt idx="2">
                  <c:v>112</c:v>
                </c:pt>
                <c:pt idx="3">
                  <c:v>224</c:v>
                </c:pt>
                <c:pt idx="4">
                  <c:v>560</c:v>
                </c:pt>
              </c:numCache>
            </c:numRef>
          </c:xVal>
          <c:yVal>
            <c:numRef>
              <c:f>Σύνοψη!$K$7:$K$11</c:f>
              <c:numCache>
                <c:formatCode>0.000000</c:formatCode>
                <c:ptCount val="5"/>
                <c:pt idx="0">
                  <c:v>8.9981964600000006E-2</c:v>
                </c:pt>
                <c:pt idx="1">
                  <c:v>9.9022319600000006E-2</c:v>
                </c:pt>
                <c:pt idx="2">
                  <c:v>0.19177954460000002</c:v>
                </c:pt>
                <c:pt idx="3">
                  <c:v>0.35334765820000003</c:v>
                </c:pt>
                <c:pt idx="4">
                  <c:v>0.72241291340000002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5-4D8F-8D87-BA1430CDF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94205080489053994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560"/>
          <c:min val="28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Packet interval (</a:t>
                </a:r>
                <a:r>
                  <a:rPr lang="el-GR"/>
                  <a:t>μ</a:t>
                </a:r>
                <a:r>
                  <a:rPr lang="en-GB"/>
                  <a:t>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interval" displayName="Data_interval" ref="A1:AR26" totalsRowShown="0">
  <tableColumns count="44">
    <tableColumn id="1" xr3:uid="{00000000-0010-0000-0000-000001000000}" name="status"/>
    <tableColumn id="2" xr3:uid="{00000000-0010-0000-0000-000002000000}" name="experiment_index"/>
    <tableColumn id="3" xr3:uid="{00000000-0010-0000-0000-000003000000}" name="experiment_id"/>
    <tableColumn id="4" xr3:uid="{00000000-0010-0000-0000-000004000000}" name="n8n_execution_id"/>
    <tableColumn id="5" xr3:uid="{00000000-0010-0000-0000-000005000000}" name="data_source"/>
    <tableColumn id="6" xr3:uid="{00000000-0010-0000-0000-000006000000}" name="config_path"/>
    <tableColumn id="7" xr3:uid="{00000000-0010-0000-0000-000007000000}" name="results_path"/>
    <tableColumn id="8" xr3:uid="{00000000-0010-0000-0000-000008000000}" name="experiment_dir"/>
    <tableColumn id="9" xr3:uid="{00000000-0010-0000-0000-000009000000}" name="traffic_input_mode"/>
    <tableColumn id="10" xr3:uid="{00000000-0010-0000-0000-00000A000000}" name="packet_interval_requested_us"/>
    <tableColumn id="11" xr3:uid="{00000000-0010-0000-0000-00000B000000}" name="packet_interval_us"/>
    <tableColumn id="12" xr3:uid="{00000000-0010-0000-0000-00000C000000}" name="rlc_mode"/>
    <tableColumn id="13" xr3:uid="{00000000-0010-0000-0000-00000D000000}" name="scheduler_type"/>
    <tableColumn id="14" xr3:uid="{00000000-0010-0000-0000-00000E000000}" name="harq_enabled"/>
    <tableColumn id="15" xr3:uid="{00000000-0010-0000-0000-00000F000000}" name="harq_max_retransmissions"/>
    <tableColumn id="16" xr3:uid="{00000000-0010-0000-0000-000010000000}" name="harq_processes"/>
    <tableColumn id="17" xr3:uid="{00000000-0010-0000-0000-000011000000}" name="gnb_antenna_model"/>
    <tableColumn id="18" xr3:uid="{00000000-0010-0000-0000-000012000000}" name="gnb_antenna_max_gain_dbi"/>
    <tableColumn id="19" xr3:uid="{00000000-0010-0000-0000-000013000000}" name="gnb_antenna_orientation_deg"/>
    <tableColumn id="20" xr3:uid="{00000000-0010-0000-0000-000014000000}" name="gnb_antenna_horizontal_beamwidth_deg"/>
    <tableColumn id="21" xr3:uid="{00000000-0010-0000-0000-000015000000}" name="gnb_antenna_vertical_beamwidth_deg"/>
    <tableColumn id="22" xr3:uid="{00000000-0010-0000-0000-000016000000}" name="gnb_antenna_effective_gain_toward_ue_db"/>
    <tableColumn id="23" xr3:uid="{00000000-0010-0000-0000-000017000000}" name="carrier_frequency_hz"/>
    <tableColumn id="24" xr3:uid="{00000000-0010-0000-0000-000018000000}" name="ue_distance_2d_m"/>
    <tableColumn id="25" xr3:uid="{00000000-0010-0000-0000-000019000000}" name="ue_distance_3d_m"/>
    <tableColumn id="26" xr3:uid="{00000000-0010-0000-0000-00001A000000}" name="ue_tx_power_dbm"/>
    <tableColumn id="27" xr3:uid="{00000000-0010-0000-0000-00001B000000}" name="offered_load_mbps"/>
    <tableColumn id="28" xr3:uid="{00000000-0010-0000-0000-00001C000000}" name="bandwidth_hz"/>
    <tableColumn id="29" xr3:uid="{00000000-0010-0000-0000-00001D000000}" name="numerology"/>
    <tableColumn id="30" xr3:uid="{00000000-0010-0000-0000-00001E000000}" name="tdd_pattern"/>
    <tableColumn id="31" xr3:uid="{00000000-0010-0000-0000-00001F000000}" name="packet_size_bytes"/>
    <tableColumn id="32" xr3:uid="{00000000-0010-0000-0000-000020000000}" name="rlc_buffer_size_bytes"/>
    <tableColumn id="33" xr3:uid="{00000000-0010-0000-0000-000021000000}" name="rng_seed"/>
    <tableColumn id="34" xr3:uid="{00000000-0010-0000-0000-000022000000}" name="rng_run"/>
    <tableColumn id="35" xr3:uid="{00000000-0010-0000-0000-000023000000}" name="throughput_mbps"/>
    <tableColumn id="36" xr3:uid="{00000000-0010-0000-0000-000024000000}" name="app_goodput_mbps"/>
    <tableColumn id="37" xr3:uid="{00000000-0010-0000-0000-000025000000}" name="end_to_end_delay_ms"/>
    <tableColumn id="38" xr3:uid="{00000000-0010-0000-0000-000026000000}" name="jitter_ms"/>
    <tableColumn id="39" xr3:uid="{00000000-0010-0000-0000-000027000000}" name="loss_fraction"/>
    <tableColumn id="40" xr3:uid="{00000000-0010-0000-0000-000028000000}" name="tx_packets"/>
    <tableColumn id="41" xr3:uid="{00000000-0010-0000-0000-000029000000}" name="rx_packets"/>
    <tableColumn id="42" xr3:uid="{00000000-0010-0000-0000-00002A000000}" name="ip_rx_bytes"/>
    <tableColumn id="43" xr3:uid="{00000000-0010-0000-0000-00002B000000}" name="unreceived_packets_after_drain"/>
    <tableColumn id="44" xr3:uid="{00000000-0010-0000-0000-00002C000000}" name="source_cs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B70"/>
  </sheetPr>
  <dimension ref="A1:O82"/>
  <sheetViews>
    <sheetView showGridLines="0" tabSelected="1" topLeftCell="A31" workbookViewId="0"/>
  </sheetViews>
  <sheetFormatPr defaultRowHeight="13.8"/>
  <cols>
    <col min="1" max="12" width="15" customWidth="1"/>
    <col min="14" max="15" width="23" customWidth="1"/>
  </cols>
  <sheetData>
    <row r="1" spans="1:15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22.95" customHeight="1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22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ht="22.95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5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5" ht="22.95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5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8</v>
      </c>
      <c r="N6" s="10" t="s">
        <v>12</v>
      </c>
      <c r="O6" s="10" t="s">
        <v>13</v>
      </c>
    </row>
    <row r="7" spans="1:15" ht="22.95" customHeight="1">
      <c r="A7" s="6">
        <f>'Σύνοψη δεδομένα'!J2/1</f>
        <v>28</v>
      </c>
      <c r="B7" s="7">
        <f>COUNT('Σύνοψη δεδομένα'!AH2:AH6)</f>
        <v>5</v>
      </c>
      <c r="C7" s="8">
        <f>AVERAGE('Σύνοψη δεδομένα'!AI2:AI6)*1</f>
        <v>235.6851168</v>
      </c>
      <c r="D7" s="8">
        <f>STDEV('Σύνοψη δεδομένα'!AI2:AI6)*1</f>
        <v>0</v>
      </c>
      <c r="E7" s="8">
        <f>AVERAGE('Σύνοψη δεδομένα'!AJ2:AJ6)*1</f>
        <v>231.06383999999997</v>
      </c>
      <c r="F7" s="8">
        <f>STDEV('Σύνοψη δεδομένα'!AJ2:AJ6)*1</f>
        <v>3.1776437161565096E-14</v>
      </c>
      <c r="G7" s="8">
        <f>AVERAGE('Σύνοψη δεδομένα'!AK2:AK6)*1</f>
        <v>37.623978705999995</v>
      </c>
      <c r="H7" s="8">
        <f>STDEV('Σύνοψη δεδομένα'!AK2:AK6)*1</f>
        <v>3.0749914260596528E-3</v>
      </c>
      <c r="I7" s="8">
        <f>AVERAGE('Σύνοψη δεδομένα'!AM2:AM6)*100</f>
        <v>42.233901400000001</v>
      </c>
      <c r="J7" s="8">
        <f>STDEV('Σύνοψη δεδομένα'!AM2:AM6)*100</f>
        <v>0</v>
      </c>
      <c r="K7" s="8">
        <f>AVERAGE('Σύνοψη δεδομένα'!AL2:AL6)*1</f>
        <v>8.9981964600000006E-2</v>
      </c>
      <c r="L7" s="8">
        <f>STDEV('Σύνοψη δεδομένα'!AL2:AL6)*1</f>
        <v>1.9955016244038183E-5</v>
      </c>
      <c r="N7" s="9">
        <f>A7</f>
        <v>28</v>
      </c>
      <c r="O7" s="9">
        <f>1400*8/N7</f>
        <v>400</v>
      </c>
    </row>
    <row r="8" spans="1:15" ht="22.95" customHeight="1">
      <c r="A8" s="6">
        <f>'Σύνοψη δεδομένα'!J7/1</f>
        <v>56</v>
      </c>
      <c r="B8" s="7">
        <f>COUNT('Σύνοψη δεδομένα'!AH7:AH11)</f>
        <v>5</v>
      </c>
      <c r="C8" s="8">
        <f>AVERAGE('Σύνοψη δεδομένα'!AI7:AI11)*1</f>
        <v>203.99951039999999</v>
      </c>
      <c r="D8" s="8">
        <f>STDEV('Σύνοψη δεδομένα'!AI7:AI11)*1</f>
        <v>0</v>
      </c>
      <c r="E8" s="8">
        <f>AVERAGE('Σύνοψη δεδομένα'!AJ7:AJ11)*1</f>
        <v>199.99951999999999</v>
      </c>
      <c r="F8" s="8">
        <f>STDEV('Σύνοψη δεδομένα'!AJ7:AJ11)*1</f>
        <v>0</v>
      </c>
      <c r="G8" s="8">
        <f>AVERAGE('Σύνοψη δεδομένα'!AK7:AK11)*1</f>
        <v>3.6406464806000001</v>
      </c>
      <c r="H8" s="8">
        <f>STDEV('Σύνοψη δεδομένα'!AK7:AK11)*1</f>
        <v>5.7820638153809742E-3</v>
      </c>
      <c r="I8" s="8">
        <f>AVERAGE('Σύνοψη δεδομένα'!AM7:AM11)*100</f>
        <v>0</v>
      </c>
      <c r="J8" s="8">
        <f>STDEV('Σύνοψη δεδομένα'!AM7:AM11)*100</f>
        <v>0</v>
      </c>
      <c r="K8" s="8">
        <f>AVERAGE('Σύνοψη δεδομένα'!AL7:AL11)*1</f>
        <v>9.9022319600000006E-2</v>
      </c>
      <c r="L8" s="8">
        <f>STDEV('Σύνοψη δεδομένα'!AL7:AL11)*1</f>
        <v>4.8868424573540388E-5</v>
      </c>
      <c r="N8" s="9">
        <f>A8</f>
        <v>56</v>
      </c>
      <c r="O8" s="9">
        <f>1400*8/N8</f>
        <v>200</v>
      </c>
    </row>
    <row r="9" spans="1:15" ht="22.95" customHeight="1">
      <c r="A9" s="6">
        <f>'Σύνοψη δεδομένα'!J12/1</f>
        <v>112</v>
      </c>
      <c r="B9" s="7">
        <f>COUNT('Σύνοψη δεδομένα'!AH12:AH16)</f>
        <v>5</v>
      </c>
      <c r="C9" s="8">
        <f>AVERAGE('Σύνοψη δεδομένα'!AI12:AI16)*1</f>
        <v>101.999184</v>
      </c>
      <c r="D9" s="8">
        <f>STDEV('Σύνοψη δεδομένα'!AI12:AI16)*1</f>
        <v>0</v>
      </c>
      <c r="E9" s="8">
        <f>AVERAGE('Σύνοψη δεδομένα'!AJ12:AJ16)*1</f>
        <v>99.999200000000002</v>
      </c>
      <c r="F9" s="8">
        <f>STDEV('Σύνοψη δεδομένα'!AJ12:AJ16)*1</f>
        <v>0</v>
      </c>
      <c r="G9" s="8">
        <f>AVERAGE('Σύνοψη δεδομένα'!AK12:AK16)*1</f>
        <v>3.5990648823999996</v>
      </c>
      <c r="H9" s="8">
        <f>STDEV('Σύνοψη δεδομένα'!AK12:AK16)*1</f>
        <v>2.7323954370312049E-3</v>
      </c>
      <c r="I9" s="8">
        <f>AVERAGE('Σύνοψη δεδομένα'!AM12:AM16)*100</f>
        <v>0</v>
      </c>
      <c r="J9" s="8">
        <f>STDEV('Σύνοψη δεδομένα'!AM12:AM16)*100</f>
        <v>0</v>
      </c>
      <c r="K9" s="8">
        <f>AVERAGE('Σύνοψη δεδομένα'!AL12:AL16)*1</f>
        <v>0.19177954460000002</v>
      </c>
      <c r="L9" s="8">
        <f>STDEV('Σύνοψη δεδομένα'!AL12:AL16)*1</f>
        <v>8.6105529661575602E-5</v>
      </c>
      <c r="N9" s="9">
        <f>A9</f>
        <v>112</v>
      </c>
      <c r="O9" s="9">
        <f>1400*8/N9</f>
        <v>100</v>
      </c>
    </row>
    <row r="10" spans="1:15" ht="22.95" customHeight="1">
      <c r="A10" s="6">
        <f>'Σύνοψη δεδομένα'!J17/1</f>
        <v>224</v>
      </c>
      <c r="B10" s="7">
        <f>COUNT('Σύνοψη δεδομένα'!AH17:AH21)</f>
        <v>5</v>
      </c>
      <c r="C10" s="8">
        <f>AVERAGE('Σύνοψη δεδομένα'!AI17:AI21)*1</f>
        <v>50.999020799999997</v>
      </c>
      <c r="D10" s="8">
        <f>STDEV('Σύνοψη δεδομένα'!AI17:AI21)*1</f>
        <v>0</v>
      </c>
      <c r="E10" s="8">
        <f>AVERAGE('Σύνοψη δεδομένα'!AJ17:AJ21)*1</f>
        <v>49.999040000000001</v>
      </c>
      <c r="F10" s="8">
        <f>STDEV('Σύνοψη δεδομένα'!AJ17:AJ21)*1</f>
        <v>0</v>
      </c>
      <c r="G10" s="8">
        <f>AVERAGE('Σύνοψη δεδομένα'!AK17:AK21)*1</f>
        <v>3.3171520393999998</v>
      </c>
      <c r="H10" s="8">
        <f>STDEV('Σύνοψη δεδομένα'!AK17:AK21)*1</f>
        <v>1.5009606763427882E-3</v>
      </c>
      <c r="I10" s="8">
        <f>AVERAGE('Σύνοψη δεδομένα'!AM17:AM21)*100</f>
        <v>0</v>
      </c>
      <c r="J10" s="8">
        <f>STDEV('Σύνοψη δεδομένα'!AM17:AM21)*100</f>
        <v>0</v>
      </c>
      <c r="K10" s="8">
        <f>AVERAGE('Σύνοψη δεδομένα'!AL17:AL21)*1</f>
        <v>0.35334765820000003</v>
      </c>
      <c r="L10" s="8">
        <f>STDEV('Σύνοψη δεδομένα'!AL17:AL21)*1</f>
        <v>4.1447671936213854E-4</v>
      </c>
      <c r="N10" s="9">
        <f>A10</f>
        <v>224</v>
      </c>
      <c r="O10" s="9">
        <f>1400*8/N10</f>
        <v>50</v>
      </c>
    </row>
    <row r="11" spans="1:15" ht="22.95" customHeight="1">
      <c r="A11" s="6">
        <f>'Σύνοψη δεδομένα'!J22/1</f>
        <v>560</v>
      </c>
      <c r="B11" s="7">
        <f>COUNT('Σύνοψη δεδομένα'!AH22:AH26)</f>
        <v>5</v>
      </c>
      <c r="C11" s="8">
        <f>AVERAGE('Σύνοψη δεδομένα'!AI22:AI26)*1</f>
        <v>20.399836799999999</v>
      </c>
      <c r="D11" s="8">
        <f>STDEV('Σύνοψη δεδομένα'!AI22:AI26)*1</f>
        <v>0</v>
      </c>
      <c r="E11" s="8">
        <f>AVERAGE('Σύνοψη δεδομένα'!AJ22:AJ26)*1</f>
        <v>19.999839999999999</v>
      </c>
      <c r="F11" s="8">
        <f>STDEV('Σύνοψη δεδομένα'!AJ22:AJ26)*1</f>
        <v>0</v>
      </c>
      <c r="G11" s="8">
        <f>AVERAGE('Σύνοψη δεδομένα'!AK22:AK26)*1</f>
        <v>4.0214547078000003</v>
      </c>
      <c r="H11" s="8">
        <f>STDEV('Σύνοψη δεδομένα'!AK22:AK26)*1</f>
        <v>0.75082123825924929</v>
      </c>
      <c r="I11" s="8">
        <f>AVERAGE('Σύνοψη δεδομένα'!AM22:AM26)*100</f>
        <v>0</v>
      </c>
      <c r="J11" s="8">
        <f>STDEV('Σύνοψη δεδομένα'!AM22:AM26)*100</f>
        <v>0</v>
      </c>
      <c r="K11" s="8">
        <f>AVERAGE('Σύνοψη δεδομένα'!AL22:AL26)*1</f>
        <v>0.72241291340000002</v>
      </c>
      <c r="L11" s="8">
        <f>STDEV('Σύνοψη δεδομένα'!AL22:AL26)*1</f>
        <v>0.10849587471139403</v>
      </c>
      <c r="N11" s="9">
        <f>A11</f>
        <v>560</v>
      </c>
      <c r="O11" s="9">
        <f>1400*8/N11</f>
        <v>20</v>
      </c>
    </row>
    <row r="12" spans="1:15" ht="22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5" ht="22.95" customHeight="1">
      <c r="A13" s="1" t="s">
        <v>14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5" ht="22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5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5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2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2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2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2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2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2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2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2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2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2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2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2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2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2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2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2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2.95" customHeight="1">
      <c r="A66" s="1" t="s">
        <v>15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.95" customHeight="1">
      <c r="A67" s="1" t="s">
        <v>16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2.95" customHeight="1">
      <c r="A68" s="1" t="s">
        <v>17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2.95" customHeight="1">
      <c r="A69" s="1" t="s">
        <v>18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2.95" customHeight="1">
      <c r="A70" s="1" t="s">
        <v>19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2.95" customHeight="1">
      <c r="A71" s="1" t="s">
        <v>20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2.95" customHeight="1">
      <c r="A72" s="1" t="s">
        <v>21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2.95" customHeight="1">
      <c r="A73" s="1" t="s">
        <v>22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2.95" customHeight="1">
      <c r="A74" s="1" t="s">
        <v>23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2.95" customHeight="1">
      <c r="A75" s="1" t="s">
        <v>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95" customHeight="1">
      <c r="A76" s="1" t="s">
        <v>25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2.95" customHeight="1">
      <c r="A77" s="1" t="s">
        <v>26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2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2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2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2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B70"/>
  </sheetPr>
  <dimension ref="A1:AR26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22" customWidth="1"/>
    <col min="3" max="3" width="36" customWidth="1"/>
    <col min="4" max="5" width="22" customWidth="1"/>
    <col min="6" max="8" width="70" customWidth="1"/>
    <col min="9" max="43" width="22" customWidth="1"/>
    <col min="44" max="44" width="70" customWidth="1"/>
  </cols>
  <sheetData>
    <row r="1" spans="1:44" ht="76.0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  <c r="AK1" s="3" t="s">
        <v>63</v>
      </c>
      <c r="AL1" s="3" t="s">
        <v>64</v>
      </c>
      <c r="AM1" s="3" t="s">
        <v>65</v>
      </c>
      <c r="AN1" s="3" t="s">
        <v>66</v>
      </c>
      <c r="AO1" s="3" t="s">
        <v>67</v>
      </c>
      <c r="AP1" s="3" t="s">
        <v>68</v>
      </c>
      <c r="AQ1" s="3" t="s">
        <v>69</v>
      </c>
      <c r="AR1" s="3" t="s">
        <v>70</v>
      </c>
    </row>
    <row r="2" spans="1:44" ht="22.95" customHeight="1">
      <c r="A2" s="1" t="s">
        <v>71</v>
      </c>
      <c r="B2" s="1">
        <v>1</v>
      </c>
      <c r="C2" s="1" t="s">
        <v>72</v>
      </c>
      <c r="D2" s="1">
        <v>201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37</v>
      </c>
      <c r="J2" s="1">
        <v>28</v>
      </c>
      <c r="K2" s="1">
        <v>28</v>
      </c>
      <c r="L2" s="1" t="s">
        <v>77</v>
      </c>
      <c r="M2" s="1" t="s">
        <v>78</v>
      </c>
      <c r="N2" s="2" t="b">
        <v>1</v>
      </c>
      <c r="O2" s="1">
        <v>3</v>
      </c>
      <c r="P2" s="1">
        <v>16</v>
      </c>
      <c r="Q2" s="1" t="s">
        <v>79</v>
      </c>
      <c r="R2" s="1">
        <v>0</v>
      </c>
      <c r="S2" s="1">
        <v>0</v>
      </c>
      <c r="T2" s="1">
        <v>120</v>
      </c>
      <c r="U2" s="1">
        <v>360</v>
      </c>
      <c r="V2" s="1">
        <v>0</v>
      </c>
      <c r="W2" s="1">
        <v>3500000000</v>
      </c>
      <c r="X2" s="1">
        <v>100</v>
      </c>
      <c r="Y2" s="1">
        <v>100.3605998</v>
      </c>
      <c r="Z2" s="1">
        <v>10</v>
      </c>
      <c r="AA2" s="1">
        <v>400</v>
      </c>
      <c r="AB2" s="1">
        <v>100000000</v>
      </c>
      <c r="AC2" s="1">
        <v>2</v>
      </c>
      <c r="AD2" s="1" t="s">
        <v>80</v>
      </c>
      <c r="AE2" s="1">
        <v>1400</v>
      </c>
      <c r="AF2" s="1">
        <v>1048576</v>
      </c>
      <c r="AG2" s="1">
        <v>42</v>
      </c>
      <c r="AH2" s="1">
        <v>1</v>
      </c>
      <c r="AI2" s="4">
        <v>235.6851168</v>
      </c>
      <c r="AJ2" s="4">
        <v>231.06384</v>
      </c>
      <c r="AK2" s="4">
        <v>37.624666300000001</v>
      </c>
      <c r="AL2" s="4">
        <v>8.9985334E-2</v>
      </c>
      <c r="AM2" s="4">
        <v>0.42233901400000001</v>
      </c>
      <c r="AN2" s="1">
        <v>357142</v>
      </c>
      <c r="AO2" s="1">
        <v>206307</v>
      </c>
      <c r="AP2" s="1">
        <v>294606396</v>
      </c>
      <c r="AQ2" s="1">
        <v>150835</v>
      </c>
      <c r="AR2" s="1" t="s">
        <v>81</v>
      </c>
    </row>
    <row r="3" spans="1:44" ht="22.95" customHeight="1">
      <c r="A3" s="1" t="s">
        <v>71</v>
      </c>
      <c r="B3" s="1">
        <v>1</v>
      </c>
      <c r="C3" s="1" t="s">
        <v>82</v>
      </c>
      <c r="D3" s="1">
        <v>202</v>
      </c>
      <c r="E3" s="1" t="s">
        <v>73</v>
      </c>
      <c r="F3" s="1" t="s">
        <v>83</v>
      </c>
      <c r="G3" s="1" t="s">
        <v>84</v>
      </c>
      <c r="H3" s="1" t="s">
        <v>85</v>
      </c>
      <c r="I3" s="1" t="s">
        <v>37</v>
      </c>
      <c r="J3" s="1">
        <v>28</v>
      </c>
      <c r="K3" s="1">
        <v>28</v>
      </c>
      <c r="L3" s="1" t="s">
        <v>77</v>
      </c>
      <c r="M3" s="1" t="s">
        <v>78</v>
      </c>
      <c r="N3" s="2" t="b">
        <v>1</v>
      </c>
      <c r="O3" s="1">
        <v>3</v>
      </c>
      <c r="P3" s="1">
        <v>16</v>
      </c>
      <c r="Q3" s="1" t="s">
        <v>79</v>
      </c>
      <c r="R3" s="1">
        <v>0</v>
      </c>
      <c r="S3" s="1">
        <v>0</v>
      </c>
      <c r="T3" s="1">
        <v>120</v>
      </c>
      <c r="U3" s="1">
        <v>360</v>
      </c>
      <c r="V3" s="1">
        <v>0</v>
      </c>
      <c r="W3" s="1">
        <v>3500000000</v>
      </c>
      <c r="X3" s="1">
        <v>100</v>
      </c>
      <c r="Y3" s="1">
        <v>100.3605998</v>
      </c>
      <c r="Z3" s="1">
        <v>10</v>
      </c>
      <c r="AA3" s="1">
        <v>400</v>
      </c>
      <c r="AB3" s="1">
        <v>100000000</v>
      </c>
      <c r="AC3" s="1">
        <v>2</v>
      </c>
      <c r="AD3" s="1" t="s">
        <v>80</v>
      </c>
      <c r="AE3" s="1">
        <v>1400</v>
      </c>
      <c r="AF3" s="1">
        <v>1048576</v>
      </c>
      <c r="AG3" s="1">
        <v>42</v>
      </c>
      <c r="AH3" s="1">
        <v>2</v>
      </c>
      <c r="AI3" s="4">
        <v>235.6851168</v>
      </c>
      <c r="AJ3" s="4">
        <v>231.06384</v>
      </c>
      <c r="AK3" s="4">
        <v>37.626030450000002</v>
      </c>
      <c r="AL3" s="4">
        <v>8.9991619999999994E-2</v>
      </c>
      <c r="AM3" s="4">
        <v>0.42233901400000001</v>
      </c>
      <c r="AN3" s="1">
        <v>357142</v>
      </c>
      <c r="AO3" s="1">
        <v>206307</v>
      </c>
      <c r="AP3" s="1">
        <v>294606396</v>
      </c>
      <c r="AQ3" s="1">
        <v>150835</v>
      </c>
      <c r="AR3" s="1" t="s">
        <v>86</v>
      </c>
    </row>
    <row r="4" spans="1:44" ht="22.95" customHeight="1">
      <c r="A4" s="1" t="s">
        <v>71</v>
      </c>
      <c r="B4" s="1">
        <v>1</v>
      </c>
      <c r="C4" s="1" t="s">
        <v>87</v>
      </c>
      <c r="D4" s="1">
        <v>203</v>
      </c>
      <c r="E4" s="1" t="s">
        <v>73</v>
      </c>
      <c r="F4" s="1" t="s">
        <v>88</v>
      </c>
      <c r="G4" s="1" t="s">
        <v>89</v>
      </c>
      <c r="H4" s="1" t="s">
        <v>90</v>
      </c>
      <c r="I4" s="1" t="s">
        <v>37</v>
      </c>
      <c r="J4" s="1">
        <v>28</v>
      </c>
      <c r="K4" s="1">
        <v>28</v>
      </c>
      <c r="L4" s="1" t="s">
        <v>77</v>
      </c>
      <c r="M4" s="1" t="s">
        <v>78</v>
      </c>
      <c r="N4" s="2" t="b">
        <v>1</v>
      </c>
      <c r="O4" s="1">
        <v>3</v>
      </c>
      <c r="P4" s="1">
        <v>16</v>
      </c>
      <c r="Q4" s="1" t="s">
        <v>79</v>
      </c>
      <c r="R4" s="1">
        <v>0</v>
      </c>
      <c r="S4" s="1">
        <v>0</v>
      </c>
      <c r="T4" s="1">
        <v>120</v>
      </c>
      <c r="U4" s="1">
        <v>360</v>
      </c>
      <c r="V4" s="1">
        <v>0</v>
      </c>
      <c r="W4" s="1">
        <v>3500000000</v>
      </c>
      <c r="X4" s="1">
        <v>100</v>
      </c>
      <c r="Y4" s="1">
        <v>100.3605998</v>
      </c>
      <c r="Z4" s="1">
        <v>10</v>
      </c>
      <c r="AA4" s="1">
        <v>400</v>
      </c>
      <c r="AB4" s="1">
        <v>100000000</v>
      </c>
      <c r="AC4" s="1">
        <v>2</v>
      </c>
      <c r="AD4" s="1" t="s">
        <v>80</v>
      </c>
      <c r="AE4" s="1">
        <v>1400</v>
      </c>
      <c r="AF4" s="1">
        <v>1048576</v>
      </c>
      <c r="AG4" s="1">
        <v>42</v>
      </c>
      <c r="AH4" s="1">
        <v>3</v>
      </c>
      <c r="AI4" s="4">
        <v>235.6851168</v>
      </c>
      <c r="AJ4" s="4">
        <v>231.06384</v>
      </c>
      <c r="AK4" s="4">
        <v>37.620793759999998</v>
      </c>
      <c r="AL4" s="4">
        <v>8.9962285000000003E-2</v>
      </c>
      <c r="AM4" s="4">
        <v>0.42233901400000001</v>
      </c>
      <c r="AN4" s="1">
        <v>357142</v>
      </c>
      <c r="AO4" s="1">
        <v>206307</v>
      </c>
      <c r="AP4" s="1">
        <v>294606396</v>
      </c>
      <c r="AQ4" s="1">
        <v>150835</v>
      </c>
      <c r="AR4" s="1" t="s">
        <v>91</v>
      </c>
    </row>
    <row r="5" spans="1:44" ht="22.95" customHeight="1">
      <c r="A5" s="1" t="s">
        <v>71</v>
      </c>
      <c r="B5" s="1">
        <v>1</v>
      </c>
      <c r="C5" s="1" t="s">
        <v>92</v>
      </c>
      <c r="D5" s="1">
        <v>204</v>
      </c>
      <c r="E5" s="1" t="s">
        <v>73</v>
      </c>
      <c r="F5" s="1" t="s">
        <v>93</v>
      </c>
      <c r="G5" s="1" t="s">
        <v>94</v>
      </c>
      <c r="H5" s="1" t="s">
        <v>95</v>
      </c>
      <c r="I5" s="1" t="s">
        <v>37</v>
      </c>
      <c r="J5" s="1">
        <v>28</v>
      </c>
      <c r="K5" s="1">
        <v>28</v>
      </c>
      <c r="L5" s="1" t="s">
        <v>77</v>
      </c>
      <c r="M5" s="1" t="s">
        <v>78</v>
      </c>
      <c r="N5" s="2" t="b">
        <v>1</v>
      </c>
      <c r="O5" s="1">
        <v>3</v>
      </c>
      <c r="P5" s="1">
        <v>16</v>
      </c>
      <c r="Q5" s="1" t="s">
        <v>79</v>
      </c>
      <c r="R5" s="1">
        <v>0</v>
      </c>
      <c r="S5" s="1">
        <v>0</v>
      </c>
      <c r="T5" s="1">
        <v>120</v>
      </c>
      <c r="U5" s="1">
        <v>360</v>
      </c>
      <c r="V5" s="1">
        <v>0</v>
      </c>
      <c r="W5" s="1">
        <v>3500000000</v>
      </c>
      <c r="X5" s="1">
        <v>100</v>
      </c>
      <c r="Y5" s="1">
        <v>100.3605998</v>
      </c>
      <c r="Z5" s="1">
        <v>10</v>
      </c>
      <c r="AA5" s="1">
        <v>400</v>
      </c>
      <c r="AB5" s="1">
        <v>100000000</v>
      </c>
      <c r="AC5" s="1">
        <v>2</v>
      </c>
      <c r="AD5" s="1" t="s">
        <v>80</v>
      </c>
      <c r="AE5" s="1">
        <v>1400</v>
      </c>
      <c r="AF5" s="1">
        <v>1048576</v>
      </c>
      <c r="AG5" s="1">
        <v>42</v>
      </c>
      <c r="AH5" s="1">
        <v>4</v>
      </c>
      <c r="AI5" s="4">
        <v>235.6851168</v>
      </c>
      <c r="AJ5" s="4">
        <v>231.06384</v>
      </c>
      <c r="AK5" s="4">
        <v>37.62758505</v>
      </c>
      <c r="AL5" s="4">
        <v>9.0008516999999996E-2</v>
      </c>
      <c r="AM5" s="4">
        <v>0.42233901400000001</v>
      </c>
      <c r="AN5" s="1">
        <v>357142</v>
      </c>
      <c r="AO5" s="1">
        <v>206307</v>
      </c>
      <c r="AP5" s="1">
        <v>294606396</v>
      </c>
      <c r="AQ5" s="1">
        <v>150835</v>
      </c>
      <c r="AR5" s="1" t="s">
        <v>96</v>
      </c>
    </row>
    <row r="6" spans="1:44" ht="22.95" customHeight="1">
      <c r="A6" s="1" t="s">
        <v>71</v>
      </c>
      <c r="B6" s="1">
        <v>1</v>
      </c>
      <c r="C6" s="1" t="s">
        <v>97</v>
      </c>
      <c r="D6" s="1">
        <v>205</v>
      </c>
      <c r="E6" s="1" t="s">
        <v>73</v>
      </c>
      <c r="F6" s="1" t="s">
        <v>98</v>
      </c>
      <c r="G6" s="1" t="s">
        <v>99</v>
      </c>
      <c r="H6" s="1" t="s">
        <v>100</v>
      </c>
      <c r="I6" s="1" t="s">
        <v>37</v>
      </c>
      <c r="J6" s="1">
        <v>28</v>
      </c>
      <c r="K6" s="1">
        <v>28</v>
      </c>
      <c r="L6" s="1" t="s">
        <v>77</v>
      </c>
      <c r="M6" s="1" t="s">
        <v>78</v>
      </c>
      <c r="N6" s="2" t="b">
        <v>1</v>
      </c>
      <c r="O6" s="1">
        <v>3</v>
      </c>
      <c r="P6" s="1">
        <v>16</v>
      </c>
      <c r="Q6" s="1" t="s">
        <v>79</v>
      </c>
      <c r="R6" s="1">
        <v>0</v>
      </c>
      <c r="S6" s="1">
        <v>0</v>
      </c>
      <c r="T6" s="1">
        <v>120</v>
      </c>
      <c r="U6" s="1">
        <v>360</v>
      </c>
      <c r="V6" s="1">
        <v>0</v>
      </c>
      <c r="W6" s="1">
        <v>3500000000</v>
      </c>
      <c r="X6" s="1">
        <v>100</v>
      </c>
      <c r="Y6" s="1">
        <v>100.3605998</v>
      </c>
      <c r="Z6" s="1">
        <v>10</v>
      </c>
      <c r="AA6" s="1">
        <v>400</v>
      </c>
      <c r="AB6" s="1">
        <v>100000000</v>
      </c>
      <c r="AC6" s="1">
        <v>2</v>
      </c>
      <c r="AD6" s="1" t="s">
        <v>80</v>
      </c>
      <c r="AE6" s="1">
        <v>1400</v>
      </c>
      <c r="AF6" s="1">
        <v>1048576</v>
      </c>
      <c r="AG6" s="1">
        <v>42</v>
      </c>
      <c r="AH6" s="1">
        <v>5</v>
      </c>
      <c r="AI6" s="4">
        <v>235.6851168</v>
      </c>
      <c r="AJ6" s="4">
        <v>231.06384</v>
      </c>
      <c r="AK6" s="4">
        <v>37.620817969999997</v>
      </c>
      <c r="AL6" s="4">
        <v>8.9962067000000007E-2</v>
      </c>
      <c r="AM6" s="4">
        <v>0.42233901400000001</v>
      </c>
      <c r="AN6" s="1">
        <v>357142</v>
      </c>
      <c r="AO6" s="1">
        <v>206307</v>
      </c>
      <c r="AP6" s="1">
        <v>294606396</v>
      </c>
      <c r="AQ6" s="1">
        <v>150835</v>
      </c>
      <c r="AR6" s="1" t="s">
        <v>101</v>
      </c>
    </row>
    <row r="7" spans="1:44" ht="22.95" customHeight="1">
      <c r="A7" s="1" t="s">
        <v>71</v>
      </c>
      <c r="B7" s="1">
        <v>2</v>
      </c>
      <c r="C7" s="1" t="s">
        <v>102</v>
      </c>
      <c r="D7" s="1">
        <v>201</v>
      </c>
      <c r="E7" s="1" t="s">
        <v>73</v>
      </c>
      <c r="F7" s="1" t="s">
        <v>103</v>
      </c>
      <c r="G7" s="1" t="s">
        <v>104</v>
      </c>
      <c r="H7" s="1" t="s">
        <v>105</v>
      </c>
      <c r="I7" s="1" t="s">
        <v>37</v>
      </c>
      <c r="J7" s="1">
        <v>56</v>
      </c>
      <c r="K7" s="1">
        <v>56</v>
      </c>
      <c r="L7" s="1" t="s">
        <v>77</v>
      </c>
      <c r="M7" s="1" t="s">
        <v>78</v>
      </c>
      <c r="N7" s="2" t="b">
        <v>1</v>
      </c>
      <c r="O7" s="1">
        <v>3</v>
      </c>
      <c r="P7" s="1">
        <v>16</v>
      </c>
      <c r="Q7" s="1" t="s">
        <v>79</v>
      </c>
      <c r="R7" s="1">
        <v>0</v>
      </c>
      <c r="S7" s="1">
        <v>0</v>
      </c>
      <c r="T7" s="1">
        <v>120</v>
      </c>
      <c r="U7" s="1">
        <v>360</v>
      </c>
      <c r="V7" s="1">
        <v>0</v>
      </c>
      <c r="W7" s="1">
        <v>3500000000</v>
      </c>
      <c r="X7" s="1">
        <v>100</v>
      </c>
      <c r="Y7" s="1">
        <v>100.3605998</v>
      </c>
      <c r="Z7" s="1">
        <v>10</v>
      </c>
      <c r="AA7" s="1">
        <v>200</v>
      </c>
      <c r="AB7" s="1">
        <v>100000000</v>
      </c>
      <c r="AC7" s="1">
        <v>2</v>
      </c>
      <c r="AD7" s="1" t="s">
        <v>80</v>
      </c>
      <c r="AE7" s="1">
        <v>1400</v>
      </c>
      <c r="AF7" s="1">
        <v>1048576</v>
      </c>
      <c r="AG7" s="1">
        <v>42</v>
      </c>
      <c r="AH7" s="1">
        <v>1</v>
      </c>
      <c r="AI7" s="4">
        <v>203.99951039999999</v>
      </c>
      <c r="AJ7" s="4">
        <v>199.99951999999999</v>
      </c>
      <c r="AK7" s="4">
        <v>3.6380526620000002</v>
      </c>
      <c r="AL7" s="4">
        <v>9.9035901999999995E-2</v>
      </c>
      <c r="AM7" s="4">
        <v>0</v>
      </c>
      <c r="AN7" s="1">
        <v>178571</v>
      </c>
      <c r="AO7" s="1">
        <v>178571</v>
      </c>
      <c r="AP7" s="1">
        <v>254999388</v>
      </c>
      <c r="AQ7" s="1">
        <v>0</v>
      </c>
      <c r="AR7" s="1" t="s">
        <v>81</v>
      </c>
    </row>
    <row r="8" spans="1:44" ht="22.95" customHeight="1">
      <c r="A8" s="1" t="s">
        <v>71</v>
      </c>
      <c r="B8" s="1">
        <v>2</v>
      </c>
      <c r="C8" s="1" t="s">
        <v>106</v>
      </c>
      <c r="D8" s="1">
        <v>202</v>
      </c>
      <c r="E8" s="1" t="s">
        <v>73</v>
      </c>
      <c r="F8" s="1" t="s">
        <v>107</v>
      </c>
      <c r="G8" s="1" t="s">
        <v>108</v>
      </c>
      <c r="H8" s="1" t="s">
        <v>109</v>
      </c>
      <c r="I8" s="1" t="s">
        <v>37</v>
      </c>
      <c r="J8" s="1">
        <v>56</v>
      </c>
      <c r="K8" s="1">
        <v>56</v>
      </c>
      <c r="L8" s="1" t="s">
        <v>77</v>
      </c>
      <c r="M8" s="1" t="s">
        <v>78</v>
      </c>
      <c r="N8" s="2" t="b">
        <v>1</v>
      </c>
      <c r="O8" s="1">
        <v>3</v>
      </c>
      <c r="P8" s="1">
        <v>16</v>
      </c>
      <c r="Q8" s="1" t="s">
        <v>79</v>
      </c>
      <c r="R8" s="1">
        <v>0</v>
      </c>
      <c r="S8" s="1">
        <v>0</v>
      </c>
      <c r="T8" s="1">
        <v>120</v>
      </c>
      <c r="U8" s="1">
        <v>360</v>
      </c>
      <c r="V8" s="1">
        <v>0</v>
      </c>
      <c r="W8" s="1">
        <v>3500000000</v>
      </c>
      <c r="X8" s="1">
        <v>100</v>
      </c>
      <c r="Y8" s="1">
        <v>100.3605998</v>
      </c>
      <c r="Z8" s="1">
        <v>10</v>
      </c>
      <c r="AA8" s="1">
        <v>200</v>
      </c>
      <c r="AB8" s="1">
        <v>100000000</v>
      </c>
      <c r="AC8" s="1">
        <v>2</v>
      </c>
      <c r="AD8" s="1" t="s">
        <v>80</v>
      </c>
      <c r="AE8" s="1">
        <v>1400</v>
      </c>
      <c r="AF8" s="1">
        <v>1048576</v>
      </c>
      <c r="AG8" s="1">
        <v>42</v>
      </c>
      <c r="AH8" s="1">
        <v>2</v>
      </c>
      <c r="AI8" s="4">
        <v>203.99951039999999</v>
      </c>
      <c r="AJ8" s="4">
        <v>199.99951999999999</v>
      </c>
      <c r="AK8" s="4">
        <v>3.64442003</v>
      </c>
      <c r="AL8" s="4">
        <v>9.9096243000000001E-2</v>
      </c>
      <c r="AM8" s="4">
        <v>0</v>
      </c>
      <c r="AN8" s="1">
        <v>178571</v>
      </c>
      <c r="AO8" s="1">
        <v>178571</v>
      </c>
      <c r="AP8" s="1">
        <v>254999388</v>
      </c>
      <c r="AQ8" s="1">
        <v>0</v>
      </c>
      <c r="AR8" s="1" t="s">
        <v>86</v>
      </c>
    </row>
    <row r="9" spans="1:44" ht="22.95" customHeight="1">
      <c r="A9" s="1" t="s">
        <v>71</v>
      </c>
      <c r="B9" s="1">
        <v>2</v>
      </c>
      <c r="C9" s="1" t="s">
        <v>110</v>
      </c>
      <c r="D9" s="1">
        <v>203</v>
      </c>
      <c r="E9" s="1" t="s">
        <v>73</v>
      </c>
      <c r="F9" s="1" t="s">
        <v>111</v>
      </c>
      <c r="G9" s="1" t="s">
        <v>112</v>
      </c>
      <c r="H9" s="1" t="s">
        <v>113</v>
      </c>
      <c r="I9" s="1" t="s">
        <v>37</v>
      </c>
      <c r="J9" s="1">
        <v>56</v>
      </c>
      <c r="K9" s="1">
        <v>56</v>
      </c>
      <c r="L9" s="1" t="s">
        <v>77</v>
      </c>
      <c r="M9" s="1" t="s">
        <v>78</v>
      </c>
      <c r="N9" s="2" t="b">
        <v>1</v>
      </c>
      <c r="O9" s="1">
        <v>3</v>
      </c>
      <c r="P9" s="1">
        <v>16</v>
      </c>
      <c r="Q9" s="1" t="s">
        <v>79</v>
      </c>
      <c r="R9" s="1">
        <v>0</v>
      </c>
      <c r="S9" s="1">
        <v>0</v>
      </c>
      <c r="T9" s="1">
        <v>120</v>
      </c>
      <c r="U9" s="1">
        <v>360</v>
      </c>
      <c r="V9" s="1">
        <v>0</v>
      </c>
      <c r="W9" s="1">
        <v>3500000000</v>
      </c>
      <c r="X9" s="1">
        <v>100</v>
      </c>
      <c r="Y9" s="1">
        <v>100.3605998</v>
      </c>
      <c r="Z9" s="1">
        <v>10</v>
      </c>
      <c r="AA9" s="1">
        <v>200</v>
      </c>
      <c r="AB9" s="1">
        <v>100000000</v>
      </c>
      <c r="AC9" s="1">
        <v>2</v>
      </c>
      <c r="AD9" s="1" t="s">
        <v>80</v>
      </c>
      <c r="AE9" s="1">
        <v>1400</v>
      </c>
      <c r="AF9" s="1">
        <v>1048576</v>
      </c>
      <c r="AG9" s="1">
        <v>42</v>
      </c>
      <c r="AH9" s="1">
        <v>3</v>
      </c>
      <c r="AI9" s="4">
        <v>203.99951039999999</v>
      </c>
      <c r="AJ9" s="4">
        <v>199.99951999999999</v>
      </c>
      <c r="AK9" s="4">
        <v>3.6350897290000002</v>
      </c>
      <c r="AL9" s="4">
        <v>9.8972710000000005E-2</v>
      </c>
      <c r="AM9" s="4">
        <v>0</v>
      </c>
      <c r="AN9" s="1">
        <v>178571</v>
      </c>
      <c r="AO9" s="1">
        <v>178571</v>
      </c>
      <c r="AP9" s="1">
        <v>254999388</v>
      </c>
      <c r="AQ9" s="1">
        <v>0</v>
      </c>
      <c r="AR9" s="1" t="s">
        <v>91</v>
      </c>
    </row>
    <row r="10" spans="1:44" ht="22.95" customHeight="1">
      <c r="A10" s="1" t="s">
        <v>71</v>
      </c>
      <c r="B10" s="1">
        <v>2</v>
      </c>
      <c r="C10" s="1" t="s">
        <v>114</v>
      </c>
      <c r="D10" s="1">
        <v>204</v>
      </c>
      <c r="E10" s="1" t="s">
        <v>73</v>
      </c>
      <c r="F10" s="1" t="s">
        <v>115</v>
      </c>
      <c r="G10" s="1" t="s">
        <v>116</v>
      </c>
      <c r="H10" s="1" t="s">
        <v>117</v>
      </c>
      <c r="I10" s="1" t="s">
        <v>37</v>
      </c>
      <c r="J10" s="1">
        <v>56</v>
      </c>
      <c r="K10" s="1">
        <v>56</v>
      </c>
      <c r="L10" s="1" t="s">
        <v>77</v>
      </c>
      <c r="M10" s="1" t="s">
        <v>78</v>
      </c>
      <c r="N10" s="2" t="b">
        <v>1</v>
      </c>
      <c r="O10" s="1">
        <v>3</v>
      </c>
      <c r="P10" s="1">
        <v>16</v>
      </c>
      <c r="Q10" s="1" t="s">
        <v>79</v>
      </c>
      <c r="R10" s="1">
        <v>0</v>
      </c>
      <c r="S10" s="1">
        <v>0</v>
      </c>
      <c r="T10" s="1">
        <v>120</v>
      </c>
      <c r="U10" s="1">
        <v>360</v>
      </c>
      <c r="V10" s="1">
        <v>0</v>
      </c>
      <c r="W10" s="1">
        <v>3500000000</v>
      </c>
      <c r="X10" s="1">
        <v>100</v>
      </c>
      <c r="Y10" s="1">
        <v>100.3605998</v>
      </c>
      <c r="Z10" s="1">
        <v>10</v>
      </c>
      <c r="AA10" s="1">
        <v>200</v>
      </c>
      <c r="AB10" s="1">
        <v>100000000</v>
      </c>
      <c r="AC10" s="1">
        <v>2</v>
      </c>
      <c r="AD10" s="1" t="s">
        <v>80</v>
      </c>
      <c r="AE10" s="1">
        <v>1400</v>
      </c>
      <c r="AF10" s="1">
        <v>1048576</v>
      </c>
      <c r="AG10" s="1">
        <v>42</v>
      </c>
      <c r="AH10" s="1">
        <v>4</v>
      </c>
      <c r="AI10" s="4">
        <v>203.99951039999999</v>
      </c>
      <c r="AJ10" s="4">
        <v>199.99951999999999</v>
      </c>
      <c r="AK10" s="4">
        <v>3.6488476790000002</v>
      </c>
      <c r="AL10" s="4">
        <v>9.9022399999999997E-2</v>
      </c>
      <c r="AM10" s="4">
        <v>0</v>
      </c>
      <c r="AN10" s="1">
        <v>178571</v>
      </c>
      <c r="AO10" s="1">
        <v>178571</v>
      </c>
      <c r="AP10" s="1">
        <v>254999388</v>
      </c>
      <c r="AQ10" s="1">
        <v>0</v>
      </c>
      <c r="AR10" s="1" t="s">
        <v>96</v>
      </c>
    </row>
    <row r="11" spans="1:44" ht="22.95" customHeight="1">
      <c r="A11" s="1" t="s">
        <v>71</v>
      </c>
      <c r="B11" s="1">
        <v>2</v>
      </c>
      <c r="C11" s="1" t="s">
        <v>118</v>
      </c>
      <c r="D11" s="1">
        <v>205</v>
      </c>
      <c r="E11" s="1" t="s">
        <v>73</v>
      </c>
      <c r="F11" s="1" t="s">
        <v>119</v>
      </c>
      <c r="G11" s="1" t="s">
        <v>120</v>
      </c>
      <c r="H11" s="1" t="s">
        <v>121</v>
      </c>
      <c r="I11" s="1" t="s">
        <v>37</v>
      </c>
      <c r="J11" s="1">
        <v>56</v>
      </c>
      <c r="K11" s="1">
        <v>56</v>
      </c>
      <c r="L11" s="1" t="s">
        <v>77</v>
      </c>
      <c r="M11" s="1" t="s">
        <v>78</v>
      </c>
      <c r="N11" s="2" t="b">
        <v>1</v>
      </c>
      <c r="O11" s="1">
        <v>3</v>
      </c>
      <c r="P11" s="1">
        <v>16</v>
      </c>
      <c r="Q11" s="1" t="s">
        <v>79</v>
      </c>
      <c r="R11" s="1">
        <v>0</v>
      </c>
      <c r="S11" s="1">
        <v>0</v>
      </c>
      <c r="T11" s="1">
        <v>120</v>
      </c>
      <c r="U11" s="1">
        <v>360</v>
      </c>
      <c r="V11" s="1">
        <v>0</v>
      </c>
      <c r="W11" s="1">
        <v>3500000000</v>
      </c>
      <c r="X11" s="1">
        <v>100</v>
      </c>
      <c r="Y11" s="1">
        <v>100.3605998</v>
      </c>
      <c r="Z11" s="1">
        <v>10</v>
      </c>
      <c r="AA11" s="1">
        <v>200</v>
      </c>
      <c r="AB11" s="1">
        <v>100000000</v>
      </c>
      <c r="AC11" s="1">
        <v>2</v>
      </c>
      <c r="AD11" s="1" t="s">
        <v>80</v>
      </c>
      <c r="AE11" s="1">
        <v>1400</v>
      </c>
      <c r="AF11" s="1">
        <v>1048576</v>
      </c>
      <c r="AG11" s="1">
        <v>42</v>
      </c>
      <c r="AH11" s="1">
        <v>5</v>
      </c>
      <c r="AI11" s="4">
        <v>203.99951039999999</v>
      </c>
      <c r="AJ11" s="4">
        <v>199.99951999999999</v>
      </c>
      <c r="AK11" s="4">
        <v>3.6368223030000002</v>
      </c>
      <c r="AL11" s="4">
        <v>9.8984343000000002E-2</v>
      </c>
      <c r="AM11" s="4">
        <v>0</v>
      </c>
      <c r="AN11" s="1">
        <v>178571</v>
      </c>
      <c r="AO11" s="1">
        <v>178571</v>
      </c>
      <c r="AP11" s="1">
        <v>254999388</v>
      </c>
      <c r="AQ11" s="1">
        <v>0</v>
      </c>
      <c r="AR11" s="1" t="s">
        <v>101</v>
      </c>
    </row>
    <row r="12" spans="1:44" ht="22.95" customHeight="1">
      <c r="A12" s="1" t="s">
        <v>71</v>
      </c>
      <c r="B12" s="1">
        <v>3</v>
      </c>
      <c r="C12" s="1" t="s">
        <v>122</v>
      </c>
      <c r="D12" s="1">
        <v>201</v>
      </c>
      <c r="E12" s="1" t="s">
        <v>73</v>
      </c>
      <c r="F12" s="1" t="s">
        <v>123</v>
      </c>
      <c r="G12" s="1" t="s">
        <v>124</v>
      </c>
      <c r="H12" s="1" t="s">
        <v>125</v>
      </c>
      <c r="I12" s="1" t="s">
        <v>37</v>
      </c>
      <c r="J12" s="1">
        <v>112</v>
      </c>
      <c r="K12" s="1">
        <v>112</v>
      </c>
      <c r="L12" s="1" t="s">
        <v>77</v>
      </c>
      <c r="M12" s="1" t="s">
        <v>78</v>
      </c>
      <c r="N12" s="2" t="b">
        <v>1</v>
      </c>
      <c r="O12" s="1">
        <v>3</v>
      </c>
      <c r="P12" s="1">
        <v>16</v>
      </c>
      <c r="Q12" s="1" t="s">
        <v>79</v>
      </c>
      <c r="R12" s="1">
        <v>0</v>
      </c>
      <c r="S12" s="1">
        <v>0</v>
      </c>
      <c r="T12" s="1">
        <v>120</v>
      </c>
      <c r="U12" s="1">
        <v>360</v>
      </c>
      <c r="V12" s="1">
        <v>0</v>
      </c>
      <c r="W12" s="1">
        <v>3500000000</v>
      </c>
      <c r="X12" s="1">
        <v>100</v>
      </c>
      <c r="Y12" s="1">
        <v>100.3605998</v>
      </c>
      <c r="Z12" s="1">
        <v>10</v>
      </c>
      <c r="AA12" s="1">
        <v>100</v>
      </c>
      <c r="AB12" s="1">
        <v>100000000</v>
      </c>
      <c r="AC12" s="1">
        <v>2</v>
      </c>
      <c r="AD12" s="1" t="s">
        <v>80</v>
      </c>
      <c r="AE12" s="1">
        <v>1400</v>
      </c>
      <c r="AF12" s="1">
        <v>1048576</v>
      </c>
      <c r="AG12" s="1">
        <v>42</v>
      </c>
      <c r="AH12" s="1">
        <v>1</v>
      </c>
      <c r="AI12" s="4">
        <v>101.999184</v>
      </c>
      <c r="AJ12" s="4">
        <v>99.999200000000002</v>
      </c>
      <c r="AK12" s="4">
        <v>3.5997471160000001</v>
      </c>
      <c r="AL12" s="4">
        <v>0.19174395499999999</v>
      </c>
      <c r="AM12" s="4">
        <v>0</v>
      </c>
      <c r="AN12" s="1">
        <v>89285</v>
      </c>
      <c r="AO12" s="1">
        <v>89285</v>
      </c>
      <c r="AP12" s="1">
        <v>127498980</v>
      </c>
      <c r="AQ12" s="1">
        <v>0</v>
      </c>
      <c r="AR12" s="1" t="s">
        <v>81</v>
      </c>
    </row>
    <row r="13" spans="1:44" ht="22.95" customHeight="1">
      <c r="A13" s="1" t="s">
        <v>71</v>
      </c>
      <c r="B13" s="1">
        <v>3</v>
      </c>
      <c r="C13" s="1" t="s">
        <v>126</v>
      </c>
      <c r="D13" s="1">
        <v>202</v>
      </c>
      <c r="E13" s="1" t="s">
        <v>73</v>
      </c>
      <c r="F13" s="1" t="s">
        <v>127</v>
      </c>
      <c r="G13" s="1" t="s">
        <v>128</v>
      </c>
      <c r="H13" s="1" t="s">
        <v>129</v>
      </c>
      <c r="I13" s="1" t="s">
        <v>37</v>
      </c>
      <c r="J13" s="1">
        <v>112</v>
      </c>
      <c r="K13" s="1">
        <v>112</v>
      </c>
      <c r="L13" s="1" t="s">
        <v>77</v>
      </c>
      <c r="M13" s="1" t="s">
        <v>78</v>
      </c>
      <c r="N13" s="2" t="b">
        <v>1</v>
      </c>
      <c r="O13" s="1">
        <v>3</v>
      </c>
      <c r="P13" s="1">
        <v>16</v>
      </c>
      <c r="Q13" s="1" t="s">
        <v>79</v>
      </c>
      <c r="R13" s="1">
        <v>0</v>
      </c>
      <c r="S13" s="1">
        <v>0</v>
      </c>
      <c r="T13" s="1">
        <v>120</v>
      </c>
      <c r="U13" s="1">
        <v>360</v>
      </c>
      <c r="V13" s="1">
        <v>0</v>
      </c>
      <c r="W13" s="1">
        <v>3500000000</v>
      </c>
      <c r="X13" s="1">
        <v>100</v>
      </c>
      <c r="Y13" s="1">
        <v>100.3605998</v>
      </c>
      <c r="Z13" s="1">
        <v>10</v>
      </c>
      <c r="AA13" s="1">
        <v>100</v>
      </c>
      <c r="AB13" s="1">
        <v>100000000</v>
      </c>
      <c r="AC13" s="1">
        <v>2</v>
      </c>
      <c r="AD13" s="1" t="s">
        <v>80</v>
      </c>
      <c r="AE13" s="1">
        <v>1400</v>
      </c>
      <c r="AF13" s="1">
        <v>1048576</v>
      </c>
      <c r="AG13" s="1">
        <v>42</v>
      </c>
      <c r="AH13" s="1">
        <v>2</v>
      </c>
      <c r="AI13" s="4">
        <v>101.999184</v>
      </c>
      <c r="AJ13" s="4">
        <v>99.999200000000002</v>
      </c>
      <c r="AK13" s="4">
        <v>3.5957158210000002</v>
      </c>
      <c r="AL13" s="4">
        <v>0.191650559</v>
      </c>
      <c r="AM13" s="4">
        <v>0</v>
      </c>
      <c r="AN13" s="1">
        <v>89285</v>
      </c>
      <c r="AO13" s="1">
        <v>89285</v>
      </c>
      <c r="AP13" s="1">
        <v>127498980</v>
      </c>
      <c r="AQ13" s="1">
        <v>0</v>
      </c>
      <c r="AR13" s="1" t="s">
        <v>86</v>
      </c>
    </row>
    <row r="14" spans="1:44" ht="22.95" customHeight="1">
      <c r="A14" s="1" t="s">
        <v>71</v>
      </c>
      <c r="B14" s="1">
        <v>3</v>
      </c>
      <c r="C14" s="1" t="s">
        <v>130</v>
      </c>
      <c r="D14" s="1">
        <v>203</v>
      </c>
      <c r="E14" s="1" t="s">
        <v>73</v>
      </c>
      <c r="F14" s="1" t="s">
        <v>131</v>
      </c>
      <c r="G14" s="1" t="s">
        <v>132</v>
      </c>
      <c r="H14" s="1" t="s">
        <v>133</v>
      </c>
      <c r="I14" s="1" t="s">
        <v>37</v>
      </c>
      <c r="J14" s="1">
        <v>112</v>
      </c>
      <c r="K14" s="1">
        <v>112</v>
      </c>
      <c r="L14" s="1" t="s">
        <v>77</v>
      </c>
      <c r="M14" s="1" t="s">
        <v>78</v>
      </c>
      <c r="N14" s="2" t="b">
        <v>1</v>
      </c>
      <c r="O14" s="1">
        <v>3</v>
      </c>
      <c r="P14" s="1">
        <v>16</v>
      </c>
      <c r="Q14" s="1" t="s">
        <v>79</v>
      </c>
      <c r="R14" s="1">
        <v>0</v>
      </c>
      <c r="S14" s="1">
        <v>0</v>
      </c>
      <c r="T14" s="1">
        <v>120</v>
      </c>
      <c r="U14" s="1">
        <v>360</v>
      </c>
      <c r="V14" s="1">
        <v>0</v>
      </c>
      <c r="W14" s="1">
        <v>3500000000</v>
      </c>
      <c r="X14" s="1">
        <v>100</v>
      </c>
      <c r="Y14" s="1">
        <v>100.3605998</v>
      </c>
      <c r="Z14" s="1">
        <v>10</v>
      </c>
      <c r="AA14" s="1">
        <v>100</v>
      </c>
      <c r="AB14" s="1">
        <v>100000000</v>
      </c>
      <c r="AC14" s="1">
        <v>2</v>
      </c>
      <c r="AD14" s="1" t="s">
        <v>80</v>
      </c>
      <c r="AE14" s="1">
        <v>1400</v>
      </c>
      <c r="AF14" s="1">
        <v>1048576</v>
      </c>
      <c r="AG14" s="1">
        <v>42</v>
      </c>
      <c r="AH14" s="1">
        <v>3</v>
      </c>
      <c r="AI14" s="4">
        <v>101.999184</v>
      </c>
      <c r="AJ14" s="4">
        <v>99.999200000000002</v>
      </c>
      <c r="AK14" s="4">
        <v>3.5971373870000001</v>
      </c>
      <c r="AL14" s="4">
        <v>0.19179459700000001</v>
      </c>
      <c r="AM14" s="4">
        <v>0</v>
      </c>
      <c r="AN14" s="1">
        <v>89285</v>
      </c>
      <c r="AO14" s="1">
        <v>89285</v>
      </c>
      <c r="AP14" s="1">
        <v>127498980</v>
      </c>
      <c r="AQ14" s="1">
        <v>0</v>
      </c>
      <c r="AR14" s="1" t="s">
        <v>91</v>
      </c>
    </row>
    <row r="15" spans="1:44" ht="22.95" customHeight="1">
      <c r="A15" s="1" t="s">
        <v>71</v>
      </c>
      <c r="B15" s="1">
        <v>3</v>
      </c>
      <c r="C15" s="1" t="s">
        <v>134</v>
      </c>
      <c r="D15" s="1">
        <v>204</v>
      </c>
      <c r="E15" s="1" t="s">
        <v>73</v>
      </c>
      <c r="F15" s="1" t="s">
        <v>135</v>
      </c>
      <c r="G15" s="1" t="s">
        <v>136</v>
      </c>
      <c r="H15" s="1" t="s">
        <v>137</v>
      </c>
      <c r="I15" s="1" t="s">
        <v>37</v>
      </c>
      <c r="J15" s="1">
        <v>112</v>
      </c>
      <c r="K15" s="1">
        <v>112</v>
      </c>
      <c r="L15" s="1" t="s">
        <v>77</v>
      </c>
      <c r="M15" s="1" t="s">
        <v>78</v>
      </c>
      <c r="N15" s="2" t="b">
        <v>1</v>
      </c>
      <c r="O15" s="1">
        <v>3</v>
      </c>
      <c r="P15" s="1">
        <v>16</v>
      </c>
      <c r="Q15" s="1" t="s">
        <v>79</v>
      </c>
      <c r="R15" s="1">
        <v>0</v>
      </c>
      <c r="S15" s="1">
        <v>0</v>
      </c>
      <c r="T15" s="1">
        <v>120</v>
      </c>
      <c r="U15" s="1">
        <v>360</v>
      </c>
      <c r="V15" s="1">
        <v>0</v>
      </c>
      <c r="W15" s="1">
        <v>3500000000</v>
      </c>
      <c r="X15" s="1">
        <v>100</v>
      </c>
      <c r="Y15" s="1">
        <v>100.3605998</v>
      </c>
      <c r="Z15" s="1">
        <v>10</v>
      </c>
      <c r="AA15" s="1">
        <v>100</v>
      </c>
      <c r="AB15" s="1">
        <v>100000000</v>
      </c>
      <c r="AC15" s="1">
        <v>2</v>
      </c>
      <c r="AD15" s="1" t="s">
        <v>80</v>
      </c>
      <c r="AE15" s="1">
        <v>1400</v>
      </c>
      <c r="AF15" s="1">
        <v>1048576</v>
      </c>
      <c r="AG15" s="1">
        <v>42</v>
      </c>
      <c r="AH15" s="1">
        <v>4</v>
      </c>
      <c r="AI15" s="4">
        <v>101.999184</v>
      </c>
      <c r="AJ15" s="4">
        <v>99.999200000000002</v>
      </c>
      <c r="AK15" s="4">
        <v>3.5999632689999999</v>
      </c>
      <c r="AL15" s="4">
        <v>0.191841122</v>
      </c>
      <c r="AM15" s="4">
        <v>0</v>
      </c>
      <c r="AN15" s="1">
        <v>89285</v>
      </c>
      <c r="AO15" s="1">
        <v>89285</v>
      </c>
      <c r="AP15" s="1">
        <v>127498980</v>
      </c>
      <c r="AQ15" s="1">
        <v>0</v>
      </c>
      <c r="AR15" s="1" t="s">
        <v>96</v>
      </c>
    </row>
    <row r="16" spans="1:44" ht="22.95" customHeight="1">
      <c r="A16" s="1" t="s">
        <v>71</v>
      </c>
      <c r="B16" s="1">
        <v>3</v>
      </c>
      <c r="C16" s="1" t="s">
        <v>138</v>
      </c>
      <c r="D16" s="1">
        <v>205</v>
      </c>
      <c r="E16" s="1" t="s">
        <v>73</v>
      </c>
      <c r="F16" s="1" t="s">
        <v>139</v>
      </c>
      <c r="G16" s="1" t="s">
        <v>140</v>
      </c>
      <c r="H16" s="1" t="s">
        <v>141</v>
      </c>
      <c r="I16" s="1" t="s">
        <v>37</v>
      </c>
      <c r="J16" s="1">
        <v>112</v>
      </c>
      <c r="K16" s="1">
        <v>112</v>
      </c>
      <c r="L16" s="1" t="s">
        <v>77</v>
      </c>
      <c r="M16" s="1" t="s">
        <v>78</v>
      </c>
      <c r="N16" s="2" t="b">
        <v>1</v>
      </c>
      <c r="O16" s="1">
        <v>3</v>
      </c>
      <c r="P16" s="1">
        <v>16</v>
      </c>
      <c r="Q16" s="1" t="s">
        <v>79</v>
      </c>
      <c r="R16" s="1">
        <v>0</v>
      </c>
      <c r="S16" s="1">
        <v>0</v>
      </c>
      <c r="T16" s="1">
        <v>120</v>
      </c>
      <c r="U16" s="1">
        <v>360</v>
      </c>
      <c r="V16" s="1">
        <v>0</v>
      </c>
      <c r="W16" s="1">
        <v>3500000000</v>
      </c>
      <c r="X16" s="1">
        <v>100</v>
      </c>
      <c r="Y16" s="1">
        <v>100.3605998</v>
      </c>
      <c r="Z16" s="1">
        <v>10</v>
      </c>
      <c r="AA16" s="1">
        <v>100</v>
      </c>
      <c r="AB16" s="1">
        <v>100000000</v>
      </c>
      <c r="AC16" s="1">
        <v>2</v>
      </c>
      <c r="AD16" s="1" t="s">
        <v>80</v>
      </c>
      <c r="AE16" s="1">
        <v>1400</v>
      </c>
      <c r="AF16" s="1">
        <v>1048576</v>
      </c>
      <c r="AG16" s="1">
        <v>42</v>
      </c>
      <c r="AH16" s="1">
        <v>5</v>
      </c>
      <c r="AI16" s="4">
        <v>101.999184</v>
      </c>
      <c r="AJ16" s="4">
        <v>99.999200000000002</v>
      </c>
      <c r="AK16" s="4">
        <v>3.6027608189999998</v>
      </c>
      <c r="AL16" s="4">
        <v>0.19186749</v>
      </c>
      <c r="AM16" s="4">
        <v>0</v>
      </c>
      <c r="AN16" s="1">
        <v>89285</v>
      </c>
      <c r="AO16" s="1">
        <v>89285</v>
      </c>
      <c r="AP16" s="1">
        <v>127498980</v>
      </c>
      <c r="AQ16" s="1">
        <v>0</v>
      </c>
      <c r="AR16" s="1" t="s">
        <v>101</v>
      </c>
    </row>
    <row r="17" spans="1:44" ht="22.95" customHeight="1">
      <c r="A17" s="1" t="s">
        <v>71</v>
      </c>
      <c r="B17" s="1">
        <v>4</v>
      </c>
      <c r="C17" s="1" t="s">
        <v>142</v>
      </c>
      <c r="D17" s="1">
        <v>201</v>
      </c>
      <c r="E17" s="1" t="s">
        <v>73</v>
      </c>
      <c r="F17" s="1" t="s">
        <v>143</v>
      </c>
      <c r="G17" s="1" t="s">
        <v>144</v>
      </c>
      <c r="H17" s="1" t="s">
        <v>145</v>
      </c>
      <c r="I17" s="1" t="s">
        <v>37</v>
      </c>
      <c r="J17" s="1">
        <v>224</v>
      </c>
      <c r="K17" s="1">
        <v>224</v>
      </c>
      <c r="L17" s="1" t="s">
        <v>77</v>
      </c>
      <c r="M17" s="1" t="s">
        <v>78</v>
      </c>
      <c r="N17" s="2" t="b">
        <v>1</v>
      </c>
      <c r="O17" s="1">
        <v>3</v>
      </c>
      <c r="P17" s="1">
        <v>16</v>
      </c>
      <c r="Q17" s="1" t="s">
        <v>79</v>
      </c>
      <c r="R17" s="1">
        <v>0</v>
      </c>
      <c r="S17" s="1">
        <v>0</v>
      </c>
      <c r="T17" s="1">
        <v>120</v>
      </c>
      <c r="U17" s="1">
        <v>360</v>
      </c>
      <c r="V17" s="1">
        <v>0</v>
      </c>
      <c r="W17" s="1">
        <v>3500000000</v>
      </c>
      <c r="X17" s="1">
        <v>100</v>
      </c>
      <c r="Y17" s="1">
        <v>100.3605998</v>
      </c>
      <c r="Z17" s="1">
        <v>10</v>
      </c>
      <c r="AA17" s="1">
        <v>50</v>
      </c>
      <c r="AB17" s="1">
        <v>100000000</v>
      </c>
      <c r="AC17" s="1">
        <v>2</v>
      </c>
      <c r="AD17" s="1" t="s">
        <v>80</v>
      </c>
      <c r="AE17" s="1">
        <v>1400</v>
      </c>
      <c r="AF17" s="1">
        <v>1048576</v>
      </c>
      <c r="AG17" s="1">
        <v>42</v>
      </c>
      <c r="AH17" s="1">
        <v>1</v>
      </c>
      <c r="AI17" s="4">
        <v>50.999020799999997</v>
      </c>
      <c r="AJ17" s="4">
        <v>49.999040000000001</v>
      </c>
      <c r="AK17" s="4">
        <v>3.316145423</v>
      </c>
      <c r="AL17" s="4">
        <v>0.35301607200000001</v>
      </c>
      <c r="AM17" s="4">
        <v>0</v>
      </c>
      <c r="AN17" s="1">
        <v>44642</v>
      </c>
      <c r="AO17" s="1">
        <v>44642</v>
      </c>
      <c r="AP17" s="1">
        <v>63748776</v>
      </c>
      <c r="AQ17" s="1">
        <v>0</v>
      </c>
      <c r="AR17" s="1" t="s">
        <v>81</v>
      </c>
    </row>
    <row r="18" spans="1:44" ht="22.95" customHeight="1">
      <c r="A18" s="1" t="s">
        <v>71</v>
      </c>
      <c r="B18" s="1">
        <v>4</v>
      </c>
      <c r="C18" s="1" t="s">
        <v>146</v>
      </c>
      <c r="D18" s="1">
        <v>202</v>
      </c>
      <c r="E18" s="1" t="s">
        <v>73</v>
      </c>
      <c r="F18" s="1" t="s">
        <v>147</v>
      </c>
      <c r="G18" s="1" t="s">
        <v>148</v>
      </c>
      <c r="H18" s="1" t="s">
        <v>149</v>
      </c>
      <c r="I18" s="1" t="s">
        <v>37</v>
      </c>
      <c r="J18" s="1">
        <v>224</v>
      </c>
      <c r="K18" s="1">
        <v>224</v>
      </c>
      <c r="L18" s="1" t="s">
        <v>77</v>
      </c>
      <c r="M18" s="1" t="s">
        <v>78</v>
      </c>
      <c r="N18" s="2" t="b">
        <v>1</v>
      </c>
      <c r="O18" s="1">
        <v>3</v>
      </c>
      <c r="P18" s="1">
        <v>16</v>
      </c>
      <c r="Q18" s="1" t="s">
        <v>79</v>
      </c>
      <c r="R18" s="1">
        <v>0</v>
      </c>
      <c r="S18" s="1">
        <v>0</v>
      </c>
      <c r="T18" s="1">
        <v>120</v>
      </c>
      <c r="U18" s="1">
        <v>360</v>
      </c>
      <c r="V18" s="1">
        <v>0</v>
      </c>
      <c r="W18" s="1">
        <v>3500000000</v>
      </c>
      <c r="X18" s="1">
        <v>100</v>
      </c>
      <c r="Y18" s="1">
        <v>100.3605998</v>
      </c>
      <c r="Z18" s="1">
        <v>10</v>
      </c>
      <c r="AA18" s="1">
        <v>50</v>
      </c>
      <c r="AB18" s="1">
        <v>100000000</v>
      </c>
      <c r="AC18" s="1">
        <v>2</v>
      </c>
      <c r="AD18" s="1" t="s">
        <v>80</v>
      </c>
      <c r="AE18" s="1">
        <v>1400</v>
      </c>
      <c r="AF18" s="1">
        <v>1048576</v>
      </c>
      <c r="AG18" s="1">
        <v>42</v>
      </c>
      <c r="AH18" s="1">
        <v>2</v>
      </c>
      <c r="AI18" s="4">
        <v>50.999020799999997</v>
      </c>
      <c r="AJ18" s="4">
        <v>49.999040000000001</v>
      </c>
      <c r="AK18" s="4">
        <v>3.3164167189999998</v>
      </c>
      <c r="AL18" s="4">
        <v>0.35297302800000002</v>
      </c>
      <c r="AM18" s="4">
        <v>0</v>
      </c>
      <c r="AN18" s="1">
        <v>44642</v>
      </c>
      <c r="AO18" s="1">
        <v>44642</v>
      </c>
      <c r="AP18" s="1">
        <v>63748776</v>
      </c>
      <c r="AQ18" s="1">
        <v>0</v>
      </c>
      <c r="AR18" s="1" t="s">
        <v>86</v>
      </c>
    </row>
    <row r="19" spans="1:44" ht="22.95" customHeight="1">
      <c r="A19" s="1" t="s">
        <v>71</v>
      </c>
      <c r="B19" s="1">
        <v>4</v>
      </c>
      <c r="C19" s="1" t="s">
        <v>150</v>
      </c>
      <c r="D19" s="1">
        <v>203</v>
      </c>
      <c r="E19" s="1" t="s">
        <v>73</v>
      </c>
      <c r="F19" s="1" t="s">
        <v>151</v>
      </c>
      <c r="G19" s="1" t="s">
        <v>152</v>
      </c>
      <c r="H19" s="1" t="s">
        <v>153</v>
      </c>
      <c r="I19" s="1" t="s">
        <v>37</v>
      </c>
      <c r="J19" s="1">
        <v>224</v>
      </c>
      <c r="K19" s="1">
        <v>224</v>
      </c>
      <c r="L19" s="1" t="s">
        <v>77</v>
      </c>
      <c r="M19" s="1" t="s">
        <v>78</v>
      </c>
      <c r="N19" s="2" t="b">
        <v>1</v>
      </c>
      <c r="O19" s="1">
        <v>3</v>
      </c>
      <c r="P19" s="1">
        <v>16</v>
      </c>
      <c r="Q19" s="1" t="s">
        <v>79</v>
      </c>
      <c r="R19" s="1">
        <v>0</v>
      </c>
      <c r="S19" s="1">
        <v>0</v>
      </c>
      <c r="T19" s="1">
        <v>120</v>
      </c>
      <c r="U19" s="1">
        <v>360</v>
      </c>
      <c r="V19" s="1">
        <v>0</v>
      </c>
      <c r="W19" s="1">
        <v>3500000000</v>
      </c>
      <c r="X19" s="1">
        <v>100</v>
      </c>
      <c r="Y19" s="1">
        <v>100.3605998</v>
      </c>
      <c r="Z19" s="1">
        <v>10</v>
      </c>
      <c r="AA19" s="1">
        <v>50</v>
      </c>
      <c r="AB19" s="1">
        <v>100000000</v>
      </c>
      <c r="AC19" s="1">
        <v>2</v>
      </c>
      <c r="AD19" s="1" t="s">
        <v>80</v>
      </c>
      <c r="AE19" s="1">
        <v>1400</v>
      </c>
      <c r="AF19" s="1">
        <v>1048576</v>
      </c>
      <c r="AG19" s="1">
        <v>42</v>
      </c>
      <c r="AH19" s="1">
        <v>3</v>
      </c>
      <c r="AI19" s="4">
        <v>50.999020799999997</v>
      </c>
      <c r="AJ19" s="4">
        <v>49.999040000000001</v>
      </c>
      <c r="AK19" s="4">
        <v>3.315674462</v>
      </c>
      <c r="AL19" s="4">
        <v>0.35357744600000002</v>
      </c>
      <c r="AM19" s="4">
        <v>0</v>
      </c>
      <c r="AN19" s="1">
        <v>44642</v>
      </c>
      <c r="AO19" s="1">
        <v>44642</v>
      </c>
      <c r="AP19" s="1">
        <v>63748776</v>
      </c>
      <c r="AQ19" s="1">
        <v>0</v>
      </c>
      <c r="AR19" s="1" t="s">
        <v>91</v>
      </c>
    </row>
    <row r="20" spans="1:44" ht="22.95" customHeight="1">
      <c r="A20" s="1" t="s">
        <v>71</v>
      </c>
      <c r="B20" s="1">
        <v>4</v>
      </c>
      <c r="C20" s="1" t="s">
        <v>154</v>
      </c>
      <c r="D20" s="1">
        <v>204</v>
      </c>
      <c r="E20" s="1" t="s">
        <v>73</v>
      </c>
      <c r="F20" s="1" t="s">
        <v>155</v>
      </c>
      <c r="G20" s="1" t="s">
        <v>156</v>
      </c>
      <c r="H20" s="1" t="s">
        <v>157</v>
      </c>
      <c r="I20" s="1" t="s">
        <v>37</v>
      </c>
      <c r="J20" s="1">
        <v>224</v>
      </c>
      <c r="K20" s="1">
        <v>224</v>
      </c>
      <c r="L20" s="1" t="s">
        <v>77</v>
      </c>
      <c r="M20" s="1" t="s">
        <v>78</v>
      </c>
      <c r="N20" s="2" t="b">
        <v>1</v>
      </c>
      <c r="O20" s="1">
        <v>3</v>
      </c>
      <c r="P20" s="1">
        <v>16</v>
      </c>
      <c r="Q20" s="1" t="s">
        <v>79</v>
      </c>
      <c r="R20" s="1">
        <v>0</v>
      </c>
      <c r="S20" s="1">
        <v>0</v>
      </c>
      <c r="T20" s="1">
        <v>120</v>
      </c>
      <c r="U20" s="1">
        <v>360</v>
      </c>
      <c r="V20" s="1">
        <v>0</v>
      </c>
      <c r="W20" s="1">
        <v>3500000000</v>
      </c>
      <c r="X20" s="1">
        <v>100</v>
      </c>
      <c r="Y20" s="1">
        <v>100.3605998</v>
      </c>
      <c r="Z20" s="1">
        <v>10</v>
      </c>
      <c r="AA20" s="1">
        <v>50</v>
      </c>
      <c r="AB20" s="1">
        <v>100000000</v>
      </c>
      <c r="AC20" s="1">
        <v>2</v>
      </c>
      <c r="AD20" s="1" t="s">
        <v>80</v>
      </c>
      <c r="AE20" s="1">
        <v>1400</v>
      </c>
      <c r="AF20" s="1">
        <v>1048576</v>
      </c>
      <c r="AG20" s="1">
        <v>42</v>
      </c>
      <c r="AH20" s="1">
        <v>4</v>
      </c>
      <c r="AI20" s="4">
        <v>50.999020799999997</v>
      </c>
      <c r="AJ20" s="4">
        <v>49.999040000000001</v>
      </c>
      <c r="AK20" s="4">
        <v>3.3185476839999999</v>
      </c>
      <c r="AL20" s="4">
        <v>0.35321806</v>
      </c>
      <c r="AM20" s="4">
        <v>0</v>
      </c>
      <c r="AN20" s="1">
        <v>44642</v>
      </c>
      <c r="AO20" s="1">
        <v>44642</v>
      </c>
      <c r="AP20" s="1">
        <v>63748776</v>
      </c>
      <c r="AQ20" s="1">
        <v>0</v>
      </c>
      <c r="AR20" s="1" t="s">
        <v>96</v>
      </c>
    </row>
    <row r="21" spans="1:44" ht="22.95" customHeight="1">
      <c r="A21" s="1" t="s">
        <v>71</v>
      </c>
      <c r="B21" s="1">
        <v>4</v>
      </c>
      <c r="C21" s="1" t="s">
        <v>158</v>
      </c>
      <c r="D21" s="1">
        <v>205</v>
      </c>
      <c r="E21" s="1" t="s">
        <v>73</v>
      </c>
      <c r="F21" s="1" t="s">
        <v>159</v>
      </c>
      <c r="G21" s="1" t="s">
        <v>160</v>
      </c>
      <c r="H21" s="1" t="s">
        <v>161</v>
      </c>
      <c r="I21" s="1" t="s">
        <v>37</v>
      </c>
      <c r="J21" s="1">
        <v>224</v>
      </c>
      <c r="K21" s="1">
        <v>224</v>
      </c>
      <c r="L21" s="1" t="s">
        <v>77</v>
      </c>
      <c r="M21" s="1" t="s">
        <v>78</v>
      </c>
      <c r="N21" s="2" t="b">
        <v>1</v>
      </c>
      <c r="O21" s="1">
        <v>3</v>
      </c>
      <c r="P21" s="1">
        <v>16</v>
      </c>
      <c r="Q21" s="1" t="s">
        <v>79</v>
      </c>
      <c r="R21" s="1">
        <v>0</v>
      </c>
      <c r="S21" s="1">
        <v>0</v>
      </c>
      <c r="T21" s="1">
        <v>120</v>
      </c>
      <c r="U21" s="1">
        <v>360</v>
      </c>
      <c r="V21" s="1">
        <v>0</v>
      </c>
      <c r="W21" s="1">
        <v>3500000000</v>
      </c>
      <c r="X21" s="1">
        <v>100</v>
      </c>
      <c r="Y21" s="1">
        <v>100.3605998</v>
      </c>
      <c r="Z21" s="1">
        <v>10</v>
      </c>
      <c r="AA21" s="1">
        <v>50</v>
      </c>
      <c r="AB21" s="1">
        <v>100000000</v>
      </c>
      <c r="AC21" s="1">
        <v>2</v>
      </c>
      <c r="AD21" s="1" t="s">
        <v>80</v>
      </c>
      <c r="AE21" s="1">
        <v>1400</v>
      </c>
      <c r="AF21" s="1">
        <v>1048576</v>
      </c>
      <c r="AG21" s="1">
        <v>42</v>
      </c>
      <c r="AH21" s="1">
        <v>5</v>
      </c>
      <c r="AI21" s="4">
        <v>50.999020799999997</v>
      </c>
      <c r="AJ21" s="4">
        <v>49.999040000000001</v>
      </c>
      <c r="AK21" s="4">
        <v>3.3189759090000002</v>
      </c>
      <c r="AL21" s="4">
        <v>0.35395368500000002</v>
      </c>
      <c r="AM21" s="4">
        <v>0</v>
      </c>
      <c r="AN21" s="1">
        <v>44642</v>
      </c>
      <c r="AO21" s="1">
        <v>44642</v>
      </c>
      <c r="AP21" s="1">
        <v>63748776</v>
      </c>
      <c r="AQ21" s="1">
        <v>0</v>
      </c>
      <c r="AR21" s="1" t="s">
        <v>101</v>
      </c>
    </row>
    <row r="22" spans="1:44" ht="22.95" customHeight="1">
      <c r="A22" s="1" t="s">
        <v>71</v>
      </c>
      <c r="B22" s="1">
        <v>5</v>
      </c>
      <c r="C22" s="1" t="s">
        <v>162</v>
      </c>
      <c r="D22" s="1">
        <v>201</v>
      </c>
      <c r="E22" s="1" t="s">
        <v>73</v>
      </c>
      <c r="F22" s="1" t="s">
        <v>163</v>
      </c>
      <c r="G22" s="1" t="s">
        <v>164</v>
      </c>
      <c r="H22" s="1" t="s">
        <v>165</v>
      </c>
      <c r="I22" s="1" t="s">
        <v>37</v>
      </c>
      <c r="J22" s="1">
        <v>560</v>
      </c>
      <c r="K22" s="1">
        <v>560</v>
      </c>
      <c r="L22" s="1" t="s">
        <v>77</v>
      </c>
      <c r="M22" s="1" t="s">
        <v>78</v>
      </c>
      <c r="N22" s="2" t="b">
        <v>1</v>
      </c>
      <c r="O22" s="1">
        <v>3</v>
      </c>
      <c r="P22" s="1">
        <v>16</v>
      </c>
      <c r="Q22" s="1" t="s">
        <v>79</v>
      </c>
      <c r="R22" s="1">
        <v>0</v>
      </c>
      <c r="S22" s="1">
        <v>0</v>
      </c>
      <c r="T22" s="1">
        <v>120</v>
      </c>
      <c r="U22" s="1">
        <v>360</v>
      </c>
      <c r="V22" s="1">
        <v>0</v>
      </c>
      <c r="W22" s="1">
        <v>3500000000</v>
      </c>
      <c r="X22" s="1">
        <v>100</v>
      </c>
      <c r="Y22" s="1">
        <v>100.3605998</v>
      </c>
      <c r="Z22" s="1">
        <v>10</v>
      </c>
      <c r="AA22" s="1">
        <v>20</v>
      </c>
      <c r="AB22" s="1">
        <v>100000000</v>
      </c>
      <c r="AC22" s="1">
        <v>2</v>
      </c>
      <c r="AD22" s="1" t="s">
        <v>80</v>
      </c>
      <c r="AE22" s="1">
        <v>1400</v>
      </c>
      <c r="AF22" s="1">
        <v>1048576</v>
      </c>
      <c r="AG22" s="1">
        <v>42</v>
      </c>
      <c r="AH22" s="1">
        <v>1</v>
      </c>
      <c r="AI22" s="4">
        <v>20.399836799999999</v>
      </c>
      <c r="AJ22" s="4">
        <v>19.999839999999999</v>
      </c>
      <c r="AK22" s="4">
        <v>3.1991621160000001</v>
      </c>
      <c r="AL22" s="4">
        <v>0.60356391799999998</v>
      </c>
      <c r="AM22" s="4">
        <v>0</v>
      </c>
      <c r="AN22" s="1">
        <v>17857</v>
      </c>
      <c r="AO22" s="1">
        <v>17857</v>
      </c>
      <c r="AP22" s="1">
        <v>25499796</v>
      </c>
      <c r="AQ22" s="1">
        <v>0</v>
      </c>
      <c r="AR22" s="1" t="s">
        <v>81</v>
      </c>
    </row>
    <row r="23" spans="1:44" ht="22.95" customHeight="1">
      <c r="A23" s="1" t="s">
        <v>71</v>
      </c>
      <c r="B23" s="1">
        <v>5</v>
      </c>
      <c r="C23" s="1" t="s">
        <v>166</v>
      </c>
      <c r="D23" s="1">
        <v>202</v>
      </c>
      <c r="E23" s="1" t="s">
        <v>73</v>
      </c>
      <c r="F23" s="1" t="s">
        <v>167</v>
      </c>
      <c r="G23" s="1" t="s">
        <v>168</v>
      </c>
      <c r="H23" s="1" t="s">
        <v>169</v>
      </c>
      <c r="I23" s="1" t="s">
        <v>37</v>
      </c>
      <c r="J23" s="1">
        <v>560</v>
      </c>
      <c r="K23" s="1">
        <v>560</v>
      </c>
      <c r="L23" s="1" t="s">
        <v>77</v>
      </c>
      <c r="M23" s="1" t="s">
        <v>78</v>
      </c>
      <c r="N23" s="2" t="b">
        <v>1</v>
      </c>
      <c r="O23" s="1">
        <v>3</v>
      </c>
      <c r="P23" s="1">
        <v>16</v>
      </c>
      <c r="Q23" s="1" t="s">
        <v>79</v>
      </c>
      <c r="R23" s="1">
        <v>0</v>
      </c>
      <c r="S23" s="1">
        <v>0</v>
      </c>
      <c r="T23" s="1">
        <v>120</v>
      </c>
      <c r="U23" s="1">
        <v>360</v>
      </c>
      <c r="V23" s="1">
        <v>0</v>
      </c>
      <c r="W23" s="1">
        <v>3500000000</v>
      </c>
      <c r="X23" s="1">
        <v>100</v>
      </c>
      <c r="Y23" s="1">
        <v>100.3605998</v>
      </c>
      <c r="Z23" s="1">
        <v>10</v>
      </c>
      <c r="AA23" s="1">
        <v>20</v>
      </c>
      <c r="AB23" s="1">
        <v>100000000</v>
      </c>
      <c r="AC23" s="1">
        <v>2</v>
      </c>
      <c r="AD23" s="1" t="s">
        <v>80</v>
      </c>
      <c r="AE23" s="1">
        <v>1400</v>
      </c>
      <c r="AF23" s="1">
        <v>1048576</v>
      </c>
      <c r="AG23" s="1">
        <v>42</v>
      </c>
      <c r="AH23" s="1">
        <v>2</v>
      </c>
      <c r="AI23" s="4">
        <v>20.399836799999999</v>
      </c>
      <c r="AJ23" s="4">
        <v>19.999839999999999</v>
      </c>
      <c r="AK23" s="4">
        <v>4.5944851990000002</v>
      </c>
      <c r="AL23" s="4">
        <v>0.80147416199999999</v>
      </c>
      <c r="AM23" s="4">
        <v>0</v>
      </c>
      <c r="AN23" s="1">
        <v>17857</v>
      </c>
      <c r="AO23" s="1">
        <v>17857</v>
      </c>
      <c r="AP23" s="1">
        <v>25499796</v>
      </c>
      <c r="AQ23" s="1">
        <v>0</v>
      </c>
      <c r="AR23" s="1" t="s">
        <v>86</v>
      </c>
    </row>
    <row r="24" spans="1:44" ht="22.95" customHeight="1">
      <c r="A24" s="1" t="s">
        <v>71</v>
      </c>
      <c r="B24" s="1">
        <v>5</v>
      </c>
      <c r="C24" s="1" t="s">
        <v>170</v>
      </c>
      <c r="D24" s="1">
        <v>203</v>
      </c>
      <c r="E24" s="1" t="s">
        <v>73</v>
      </c>
      <c r="F24" s="1" t="s">
        <v>171</v>
      </c>
      <c r="G24" s="1" t="s">
        <v>172</v>
      </c>
      <c r="H24" s="1" t="s">
        <v>173</v>
      </c>
      <c r="I24" s="1" t="s">
        <v>37</v>
      </c>
      <c r="J24" s="1">
        <v>560</v>
      </c>
      <c r="K24" s="1">
        <v>560</v>
      </c>
      <c r="L24" s="1" t="s">
        <v>77</v>
      </c>
      <c r="M24" s="1" t="s">
        <v>78</v>
      </c>
      <c r="N24" s="2" t="b">
        <v>1</v>
      </c>
      <c r="O24" s="1">
        <v>3</v>
      </c>
      <c r="P24" s="1">
        <v>16</v>
      </c>
      <c r="Q24" s="1" t="s">
        <v>79</v>
      </c>
      <c r="R24" s="1">
        <v>0</v>
      </c>
      <c r="S24" s="1">
        <v>0</v>
      </c>
      <c r="T24" s="1">
        <v>120</v>
      </c>
      <c r="U24" s="1">
        <v>360</v>
      </c>
      <c r="V24" s="1">
        <v>0</v>
      </c>
      <c r="W24" s="1">
        <v>3500000000</v>
      </c>
      <c r="X24" s="1">
        <v>100</v>
      </c>
      <c r="Y24" s="1">
        <v>100.3605998</v>
      </c>
      <c r="Z24" s="1">
        <v>10</v>
      </c>
      <c r="AA24" s="1">
        <v>20</v>
      </c>
      <c r="AB24" s="1">
        <v>100000000</v>
      </c>
      <c r="AC24" s="1">
        <v>2</v>
      </c>
      <c r="AD24" s="1" t="s">
        <v>80</v>
      </c>
      <c r="AE24" s="1">
        <v>1400</v>
      </c>
      <c r="AF24" s="1">
        <v>1048576</v>
      </c>
      <c r="AG24" s="1">
        <v>42</v>
      </c>
      <c r="AH24" s="1">
        <v>3</v>
      </c>
      <c r="AI24" s="4">
        <v>20.399836799999999</v>
      </c>
      <c r="AJ24" s="4">
        <v>19.999839999999999</v>
      </c>
      <c r="AK24" s="4">
        <v>4.5636894310000002</v>
      </c>
      <c r="AL24" s="4">
        <v>0.80267013600000003</v>
      </c>
      <c r="AM24" s="4">
        <v>0</v>
      </c>
      <c r="AN24" s="1">
        <v>17857</v>
      </c>
      <c r="AO24" s="1">
        <v>17857</v>
      </c>
      <c r="AP24" s="1">
        <v>25499796</v>
      </c>
      <c r="AQ24" s="1">
        <v>0</v>
      </c>
      <c r="AR24" s="1" t="s">
        <v>91</v>
      </c>
    </row>
    <row r="25" spans="1:44" ht="22.95" customHeight="1">
      <c r="A25" s="1" t="s">
        <v>71</v>
      </c>
      <c r="B25" s="1">
        <v>5</v>
      </c>
      <c r="C25" s="1" t="s">
        <v>174</v>
      </c>
      <c r="D25" s="1">
        <v>204</v>
      </c>
      <c r="E25" s="1" t="s">
        <v>73</v>
      </c>
      <c r="F25" s="1" t="s">
        <v>175</v>
      </c>
      <c r="G25" s="1" t="s">
        <v>176</v>
      </c>
      <c r="H25" s="1" t="s">
        <v>177</v>
      </c>
      <c r="I25" s="1" t="s">
        <v>37</v>
      </c>
      <c r="J25" s="1">
        <v>560</v>
      </c>
      <c r="K25" s="1">
        <v>560</v>
      </c>
      <c r="L25" s="1" t="s">
        <v>77</v>
      </c>
      <c r="M25" s="1" t="s">
        <v>78</v>
      </c>
      <c r="N25" s="2" t="b">
        <v>1</v>
      </c>
      <c r="O25" s="1">
        <v>3</v>
      </c>
      <c r="P25" s="1">
        <v>16</v>
      </c>
      <c r="Q25" s="1" t="s">
        <v>79</v>
      </c>
      <c r="R25" s="1">
        <v>0</v>
      </c>
      <c r="S25" s="1">
        <v>0</v>
      </c>
      <c r="T25" s="1">
        <v>120</v>
      </c>
      <c r="U25" s="1">
        <v>360</v>
      </c>
      <c r="V25" s="1">
        <v>0</v>
      </c>
      <c r="W25" s="1">
        <v>3500000000</v>
      </c>
      <c r="X25" s="1">
        <v>100</v>
      </c>
      <c r="Y25" s="1">
        <v>100.3605998</v>
      </c>
      <c r="Z25" s="1">
        <v>10</v>
      </c>
      <c r="AA25" s="1">
        <v>20</v>
      </c>
      <c r="AB25" s="1">
        <v>100000000</v>
      </c>
      <c r="AC25" s="1">
        <v>2</v>
      </c>
      <c r="AD25" s="1" t="s">
        <v>80</v>
      </c>
      <c r="AE25" s="1">
        <v>1400</v>
      </c>
      <c r="AF25" s="1">
        <v>1048576</v>
      </c>
      <c r="AG25" s="1">
        <v>42</v>
      </c>
      <c r="AH25" s="1">
        <v>4</v>
      </c>
      <c r="AI25" s="4">
        <v>20.399836799999999</v>
      </c>
      <c r="AJ25" s="4">
        <v>19.999839999999999</v>
      </c>
      <c r="AK25" s="4">
        <v>3.1991481159999999</v>
      </c>
      <c r="AL25" s="4">
        <v>0.60356391799999998</v>
      </c>
      <c r="AM25" s="4">
        <v>0</v>
      </c>
      <c r="AN25" s="1">
        <v>17857</v>
      </c>
      <c r="AO25" s="1">
        <v>17857</v>
      </c>
      <c r="AP25" s="1">
        <v>25499796</v>
      </c>
      <c r="AQ25" s="1">
        <v>0</v>
      </c>
      <c r="AR25" s="1" t="s">
        <v>96</v>
      </c>
    </row>
    <row r="26" spans="1:44" ht="22.95" customHeight="1">
      <c r="A26" s="1" t="s">
        <v>71</v>
      </c>
      <c r="B26" s="1">
        <v>5</v>
      </c>
      <c r="C26" s="1" t="s">
        <v>178</v>
      </c>
      <c r="D26" s="1">
        <v>205</v>
      </c>
      <c r="E26" s="1" t="s">
        <v>73</v>
      </c>
      <c r="F26" s="1" t="s">
        <v>179</v>
      </c>
      <c r="G26" s="1" t="s">
        <v>180</v>
      </c>
      <c r="H26" s="1" t="s">
        <v>181</v>
      </c>
      <c r="I26" s="1" t="s">
        <v>37</v>
      </c>
      <c r="J26" s="1">
        <v>560</v>
      </c>
      <c r="K26" s="1">
        <v>560</v>
      </c>
      <c r="L26" s="1" t="s">
        <v>77</v>
      </c>
      <c r="M26" s="1" t="s">
        <v>78</v>
      </c>
      <c r="N26" s="2" t="b">
        <v>1</v>
      </c>
      <c r="O26" s="1">
        <v>3</v>
      </c>
      <c r="P26" s="1">
        <v>16</v>
      </c>
      <c r="Q26" s="1" t="s">
        <v>79</v>
      </c>
      <c r="R26" s="1">
        <v>0</v>
      </c>
      <c r="S26" s="1">
        <v>0</v>
      </c>
      <c r="T26" s="1">
        <v>120</v>
      </c>
      <c r="U26" s="1">
        <v>360</v>
      </c>
      <c r="V26" s="1">
        <v>0</v>
      </c>
      <c r="W26" s="1">
        <v>3500000000</v>
      </c>
      <c r="X26" s="1">
        <v>100</v>
      </c>
      <c r="Y26" s="1">
        <v>100.3605998</v>
      </c>
      <c r="Z26" s="1">
        <v>10</v>
      </c>
      <c r="AA26" s="1">
        <v>20</v>
      </c>
      <c r="AB26" s="1">
        <v>100000000</v>
      </c>
      <c r="AC26" s="1">
        <v>2</v>
      </c>
      <c r="AD26" s="1" t="s">
        <v>80</v>
      </c>
      <c r="AE26" s="1">
        <v>1400</v>
      </c>
      <c r="AF26" s="1">
        <v>1048576</v>
      </c>
      <c r="AG26" s="1">
        <v>42</v>
      </c>
      <c r="AH26" s="1">
        <v>5</v>
      </c>
      <c r="AI26" s="4">
        <v>20.399836799999999</v>
      </c>
      <c r="AJ26" s="4">
        <v>19.999839999999999</v>
      </c>
      <c r="AK26" s="4">
        <v>4.5507886769999999</v>
      </c>
      <c r="AL26" s="4">
        <v>0.80079243300000003</v>
      </c>
      <c r="AM26" s="4">
        <v>0</v>
      </c>
      <c r="AN26" s="1">
        <v>17857</v>
      </c>
      <c r="AO26" s="1">
        <v>17857</v>
      </c>
      <c r="AP26" s="1">
        <v>25499796</v>
      </c>
      <c r="AQ26" s="1">
        <v>0</v>
      </c>
      <c r="AR26" s="1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Σύνοψη</vt:lpstr>
      <vt:lpstr>Σύνοψη δεδομένα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Κωνσταντίνος Μπουντουράσας</cp:lastModifiedBy>
  <dcterms:modified xsi:type="dcterms:W3CDTF">2026-10-14T09:22:09Z</dcterms:modified>
</cp:coreProperties>
</file>