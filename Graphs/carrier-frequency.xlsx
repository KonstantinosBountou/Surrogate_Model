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6a1300736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Συχνότητα" sheetId="1" r:id="R15fb08b4db6c4d1c"/>
    <x:sheet xmlns:r="http://schemas.openxmlformats.org/officeDocument/2006/relationships" name="Συχνότητα δεδομένα" sheetId="2" r:id="R81eeb9dbdd3d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0.###"/>
    <x:numFmt numFmtId="202" formatCode="0"/>
    <x:numFmt numFmtId="203" formatCode="0.000000"/>
  </x:numFmts>
  <x:fonts count="4">
    <x:font>
      <x:sz val="11"/>
      <x:name val="Carlito"/>
    </x:font>
    <x:font>
      <x:sz val="11"/>
      <x:color rgb="FF203047"/>
      <x:name val="Arial"/>
    </x:font>
    <x:font>
      <x:b/>
      <x:sz val="11"/>
      <x:color rgb="FFFFFFFF"/>
      <x:name val="Arial"/>
    </x:font>
    <x:font>
      <x:b/>
      <x:sz val="17"/>
      <x:color rgb="FF2030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0bcb3d49f4353" /><Relationship Type="http://schemas.openxmlformats.org/officeDocument/2006/relationships/theme" Target="/xl/theme/theme1.xml" Id="Rcea6532d80954564" /><Relationship Type="http://schemas.openxmlformats.org/officeDocument/2006/relationships/sharedStrings" Target="/xl/sharedStrings.xml" Id="R80f507eecc69467f" /><Relationship Type="http://schemas.openxmlformats.org/officeDocument/2006/relationships/worksheet" Target="/xl/worksheets/sheet1.xml" Id="R15fb08b4db6c4d1c" /><Relationship Type="http://schemas.openxmlformats.org/officeDocument/2006/relationships/worksheet" Target="/xl/worksheets/sheet2.xml" Id="R81eeb9dbdd3d47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699366dac34f9e" /><Relationship Type="http://schemas.openxmlformats.org/officeDocument/2006/relationships/chart" Target="/xl/drawings/charts/chart2.xml" Id="Rd58e94e1c87848df" /><Relationship Type="http://schemas.openxmlformats.org/officeDocument/2006/relationships/chart" Target="/xl/drawings/charts/chart3.xml" Id="R09c34ef87ff54663" /><Relationship Type="http://schemas.openxmlformats.org/officeDocument/2006/relationships/chart" Target="/xl/drawings/charts/chart4.xml" Id="Rb6d314b126184b6c" /><Relationship Type="http://schemas.openxmlformats.org/officeDocument/2006/relationships/chart" Target="/xl/drawings/charts/chart5.xml" Id="R8099b9b66f944a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IP throughput (Mbps)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'Συχνότητα'!$D$7:$D$11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'Συχνότητα'!$D$7:$D$11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'Συχνότητα'!$A$7:$A$11</c:f>
              <c:numCache>
                <c:formatCode>0.000000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'Συχνότητα'!$C$7:$C$11</c:f>
              <c:numCache>
                <c:formatCode>0.000000</c:formatCode>
                <c:ptCount val="5"/>
                <c:pt idx="0">
                  <c:v>203.9995104</c:v>
                </c:pt>
                <c:pt idx="1">
                  <c:v>203.9995104</c:v>
                </c:pt>
                <c:pt idx="2">
                  <c:v>203.9995104</c:v>
                </c:pt>
                <c:pt idx="3">
                  <c:v>185.2824288</c:v>
                </c:pt>
                <c:pt idx="4">
                  <c:v>134.9277216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24.3994614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7"/>
          <c:min val="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Carrier frequency (GHz)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Goodput (Mbps)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'Συχνότητα'!$F$7:$F$11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'Συχνότητα'!$F$7:$F$11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'Συχνότητα'!$A$7:$A$11</c:f>
              <c:numCache>
                <c:formatCode>0.000000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'Συχνότητα'!$E$7:$E$11</c:f>
              <c:numCache>
                <c:formatCode>0.000000</c:formatCode>
                <c:ptCount val="5"/>
                <c:pt idx="0">
                  <c:v>199.99952</c:v>
                </c:pt>
                <c:pt idx="1">
                  <c:v>199.99952</c:v>
                </c:pt>
                <c:pt idx="2">
                  <c:v>199.99952</c:v>
                </c:pt>
                <c:pt idx="3">
                  <c:v>181.64944</c:v>
                </c:pt>
                <c:pt idx="4">
                  <c:v>132.28208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219.99947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7"/>
          <c:min val="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Carrier frequency (GHz)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Delay (ms)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'Συχνότητα'!$H$7:$H$11</c:f>
                <c:numCache>
                  <c:formatCode>0.000000</c:formatCode>
                  <c:ptCount val="5"/>
                  <c:pt idx="0">
                    <c:v>0.0063940773572415555</c:v>
                  </c:pt>
                  <c:pt idx="1">
                    <c:v>0.007565242314002435</c:v>
                  </c:pt>
                  <c:pt idx="2">
                    <c:v>0.003964022385571858</c:v>
                  </c:pt>
                  <c:pt idx="3">
                    <c:v>0.0053163271289929865</c:v>
                  </c:pt>
                  <c:pt idx="4">
                    <c:v>0.0017636732778424126</c:v>
                  </c:pt>
                </c:numCache>
              </c:numRef>
            </c:plus>
            <c:minus>
              <c:numRef>
                <c:f>'Συχνότητα'!$H$7:$H$11</c:f>
                <c:numCache>
                  <c:formatCode>0.000000</c:formatCode>
                  <c:ptCount val="5"/>
                  <c:pt idx="0">
                    <c:v>0.0063940773572415555</c:v>
                  </c:pt>
                  <c:pt idx="1">
                    <c:v>0.007565242314002435</c:v>
                  </c:pt>
                  <c:pt idx="2">
                    <c:v>0.003964022385571858</c:v>
                  </c:pt>
                  <c:pt idx="3">
                    <c:v>0.0053163271289929865</c:v>
                  </c:pt>
                  <c:pt idx="4">
                    <c:v>0.0017636732778424126</c:v>
                  </c:pt>
                </c:numCache>
              </c:numRef>
            </c:minus>
          </c:errBars>
          <c:xVal>
            <c:numRef>
              <c:f>'Συχνότητα'!$A$7:$A$11</c:f>
              <c:numCache>
                <c:formatCode>0.000000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'Συχνότητα'!$G$7:$G$11</c:f>
              <c:numCache>
                <c:formatCode>0.000000</c:formatCode>
                <c:ptCount val="5"/>
                <c:pt idx="0">
                  <c:v>3.6422031292</c:v>
                </c:pt>
                <c:pt idx="1">
                  <c:v>3.6411966701999994</c:v>
                </c:pt>
                <c:pt idx="2">
                  <c:v>3.6507803539999997</c:v>
                </c:pt>
                <c:pt idx="3">
                  <c:v>46.424109605999995</c:v>
                </c:pt>
                <c:pt idx="4">
                  <c:v>63.991531024000004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73.0472441876866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7"/>
          <c:min val="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Carrier frequency (GHz)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Loss after drain (%)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'Συχνότητα'!$J$7:$J$11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'Συχνότητα'!$J$7:$J$11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'Συχνότητα'!$A$7:$A$11</c:f>
              <c:numCache>
                <c:formatCode>0.000000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'Συχνότητα'!$I$7:$I$11</c:f>
              <c:numCache>
                <c:formatCode>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9.175062</c:v>
                </c:pt>
                <c:pt idx="4">
                  <c:v>33.8588013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37.2446814300000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7"/>
          <c:min val="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Carrier frequency (GHz)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Jitter (ms)</c:v>
          </c:tx>
          <c:spPr>
            <a:solidFill xmlns:a="http://schemas.openxmlformats.org/drawingml/2006/main">
              <a:srgbClr val="246B9B"/>
            </a:solidFill>
            <a:ln xmlns:a="http://schemas.openxmlformats.org/drawingml/2006/main"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'Συχνότητα'!$L$7:$L$11</c:f>
                <c:numCache>
                  <c:formatCode>0.000000</c:formatCode>
                  <c:ptCount val="5"/>
                  <c:pt idx="0">
                    <c:v>3.185287928115505e-05</c:v>
                  </c:pt>
                  <c:pt idx="1">
                    <c:v>3.942658217243612e-05</c:v>
                  </c:pt>
                  <c:pt idx="2">
                    <c:v>4.979712989520945e-05</c:v>
                  </c:pt>
                  <c:pt idx="3">
                    <c:v>3.0515243808625126e-05</c:v>
                  </c:pt>
                  <c:pt idx="4">
                    <c:v>0.0001473843507075975</c:v>
                  </c:pt>
                </c:numCache>
              </c:numRef>
            </c:plus>
            <c:minus>
              <c:numRef>
                <c:f>'Συχνότητα'!$L$7:$L$11</c:f>
                <c:numCache>
                  <c:formatCode>0.000000</c:formatCode>
                  <c:ptCount val="5"/>
                  <c:pt idx="0">
                    <c:v>3.185287928115505e-05</c:v>
                  </c:pt>
                  <c:pt idx="1">
                    <c:v>3.942658217243612e-05</c:v>
                  </c:pt>
                  <c:pt idx="2">
                    <c:v>4.979712989520945e-05</c:v>
                  </c:pt>
                  <c:pt idx="3">
                    <c:v>3.0515243808625126e-05</c:v>
                  </c:pt>
                  <c:pt idx="4">
                    <c:v>0.0001473843507075975</c:v>
                  </c:pt>
                </c:numCache>
              </c:numRef>
            </c:minus>
          </c:errBars>
          <c:xVal>
            <c:numRef>
              <c:f>'Συχνότητα'!$A$7:$A$11</c:f>
              <c:numCache>
                <c:formatCode>0.000000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'Συχνότητα'!$K$7:$K$11</c:f>
              <c:numCache>
                <c:formatCode>0.000000</c:formatCode>
                <c:ptCount val="5"/>
                <c:pt idx="0">
                  <c:v>0.10028827200000001</c:v>
                </c:pt>
                <c:pt idx="1">
                  <c:v>0.1003002806</c:v>
                </c:pt>
                <c:pt idx="2">
                  <c:v>0.0990438124</c:v>
                </c:pt>
                <c:pt idx="3">
                  <c:v>0.1088347832</c:v>
                </c:pt>
                <c:pt idx="4">
                  <c:v>0.128077007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13260894776279802"/>
          <c:min val="0.0946094588580143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7"/>
          <c:min val="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Carrier frequency (GHz)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699366dac34f9e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8e94e1c87848df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c34ef87ff5466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d314b126184b6c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99b9b66f944a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_carrier" displayName="Data_carrier" ref="A1:AD26" headerRowCount="1" totalsRowCount="0" totalsRowShown="0">
  <x:tableColumns count="30">
    <x:tableColumn id="1" name="status"/>
    <x:tableColumn id="2" name="experiment_index"/>
    <x:tableColumn id="3" name="experiment_id"/>
    <x:tableColumn id="4" name="n8n_execution_id"/>
    <x:tableColumn id="5" name="data_source"/>
    <x:tableColumn id="6" name="config_path"/>
    <x:tableColumn id="7" name="results_path"/>
    <x:tableColumn id="8" name="experiment_dir"/>
    <x:tableColumn id="9" name="ue_distance_2d_m"/>
    <x:tableColumn id="10" name="ue_distance_3d_m"/>
    <x:tableColumn id="11" name="ue_tx_power_dbm"/>
    <x:tableColumn id="12" name="offered_load_mbps"/>
    <x:tableColumn id="13" name="bandwidth_hz"/>
    <x:tableColumn id="14" name="numerology"/>
    <x:tableColumn id="15" name="tdd_pattern"/>
    <x:tableColumn id="16" name="packet_size_bytes"/>
    <x:tableColumn id="17" name="carrier_frequency_hz"/>
    <x:tableColumn id="18" name="rlc_buffer_size_bytes"/>
    <x:tableColumn id="19" name="rng_seed"/>
    <x:tableColumn id="20" name="rng_run"/>
    <x:tableColumn id="21" name="throughput_mbps"/>
    <x:tableColumn id="22" name="app_goodput_mbps"/>
    <x:tableColumn id="23" name="end_to_end_delay_ms"/>
    <x:tableColumn id="24" name="jitter_ms"/>
    <x:tableColumn id="25" name="loss_fraction"/>
    <x:tableColumn id="26" name="tx_packets"/>
    <x:tableColumn id="27" name="rx_packets"/>
    <x:tableColumn id="28" name="ip_rx_bytes"/>
    <x:tableColumn id="29" name="unreceived_packets_after_drain"/>
    <x:tableColumn id="30" name="source_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5ec2f3a10b4a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7e52a40dca4d3d" /></Relationships>
</file>

<file path=xl/worksheets/sheet1.xml><?xml version="1.0" encoding="utf-8"?>
<x:worksheet xmlns:x="http://schemas.openxmlformats.org/spreadsheetml/2006/main">
  <x:sheetPr>
    <x:tabColor rgb="FF234B70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8" t="str">
        <x:v>Carrier frequency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 t="str">
        <x:v>25 επιτυχείς μετρήσεις. Seed 42, runs 1–5. Μέσος όρος και δειγματική τυπική απόκλιση (SD).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65" customHeight="1">
      <x:c r="A6" s="6" t="str">
        <x:v>Carrier frequency (GHz)</x:v>
      </x:c>
      <x:c r="B6" s="6" t="str">
        <x:v>n</x:v>
      </x:c>
      <x:c r="C6" s="6" t="str">
        <x:v>IP throughput (Mbps)</x:v>
      </x:c>
      <x:c r="D6" s="6" t="str">
        <x:v>SD (Mbps)</x:v>
      </x:c>
      <x:c r="E6" s="6" t="str">
        <x:v>Goodput (Mbps)</x:v>
      </x:c>
      <x:c r="F6" s="6" t="str">
        <x:v>SD (Mbps)</x:v>
      </x:c>
      <x:c r="G6" s="6" t="str">
        <x:v>Delay (ms)</x:v>
      </x:c>
      <x:c r="H6" s="6" t="str">
        <x:v>SD (ms)</x:v>
      </x:c>
      <x:c r="I6" s="6" t="str">
        <x:v>Loss after drain (%)</x:v>
      </x:c>
      <x:c r="J6" s="6" t="str">
        <x:v>SD (ποσ. μον.)</x:v>
      </x:c>
      <x:c r="K6" s="6" t="str">
        <x:v>Jitter (ms)</x:v>
      </x:c>
      <x:c r="L6" s="6" t="str">
        <x:v>SD (ms)</x:v>
      </x:c>
    </x:row>
    <x:row r="7" ht="23" customHeight="1">
      <x:c r="A7" s="9" t="n">
        <x:f>'Συχνότητα δεδομένα'!Q2/1000000000</x:f>
        <x:v>1</x:v>
      </x:c>
      <x:c r="B7" s="10" t="n">
        <x:f>COUNT('Συχνότητα δεδομένα'!T2:T6)</x:f>
        <x:v>5</x:v>
      </x:c>
      <x:c r="C7" s="11" t="n">
        <x:f>AVERAGE('Συχνότητα δεδομένα'!U2:U6)*1</x:f>
        <x:v>203.9995104</x:v>
      </x:c>
      <x:c r="D7" s="11" t="n">
        <x:f>STDEV('Συχνότητα δεδομένα'!U2:U6)*1</x:f>
        <x:v>0</x:v>
      </x:c>
      <x:c r="E7" s="11" t="n">
        <x:f>AVERAGE('Συχνότητα δεδομένα'!V2:V6)*1</x:f>
        <x:v>199.99952</x:v>
      </x:c>
      <x:c r="F7" s="11" t="n">
        <x:f>STDEV('Συχνότητα δεδομένα'!V2:V6)*1</x:f>
        <x:v>0</x:v>
      </x:c>
      <x:c r="G7" s="11" t="n">
        <x:f>AVERAGE('Συχνότητα δεδομένα'!W2:W6)*1</x:f>
        <x:v>3.6422031292</x:v>
      </x:c>
      <x:c r="H7" s="11" t="n">
        <x:f>STDEV('Συχνότητα δεδομένα'!W2:W6)*1</x:f>
        <x:v>0.0063940773572415555</x:v>
      </x:c>
      <x:c r="I7" s="11" t="n">
        <x:f>AVERAGE('Συχνότητα δεδομένα'!Y2:Y6)*100</x:f>
        <x:v>0</x:v>
      </x:c>
      <x:c r="J7" s="11" t="n">
        <x:f>STDEV('Συχνότητα δεδομένα'!Y2:Y6)*100</x:f>
        <x:v>0</x:v>
      </x:c>
      <x:c r="K7" s="11" t="n">
        <x:f>AVERAGE('Συχνότητα δεδομένα'!X2:X6)*1</x:f>
        <x:v>0.10028827200000001</x:v>
      </x:c>
      <x:c r="L7" s="11" t="n">
        <x:f>STDEV('Συχνότητα δεδομένα'!X2:X6)*1</x:f>
        <x:v>0.00003185287928115505</x:v>
      </x:c>
    </x:row>
    <x:row r="8" ht="23" customHeight="1">
      <x:c r="A8" s="9" t="n">
        <x:f>'Συχνότητα δεδομένα'!Q7/1000000000</x:f>
        <x:v>2</x:v>
      </x:c>
      <x:c r="B8" s="10" t="n">
        <x:f>COUNT('Συχνότητα δεδομένα'!T7:T11)</x:f>
        <x:v>5</x:v>
      </x:c>
      <x:c r="C8" s="11" t="n">
        <x:f>AVERAGE('Συχνότητα δεδομένα'!U7:U11)*1</x:f>
        <x:v>203.9995104</x:v>
      </x:c>
      <x:c r="D8" s="11" t="n">
        <x:f>STDEV('Συχνότητα δεδομένα'!U7:U11)*1</x:f>
        <x:v>0</x:v>
      </x:c>
      <x:c r="E8" s="11" t="n">
        <x:f>AVERAGE('Συχνότητα δεδομένα'!V7:V11)*1</x:f>
        <x:v>199.99952</x:v>
      </x:c>
      <x:c r="F8" s="11" t="n">
        <x:f>STDEV('Συχνότητα δεδομένα'!V7:V11)*1</x:f>
        <x:v>0</x:v>
      </x:c>
      <x:c r="G8" s="11" t="n">
        <x:f>AVERAGE('Συχνότητα δεδομένα'!W7:W11)*1</x:f>
        <x:v>3.6411966701999994</x:v>
      </x:c>
      <x:c r="H8" s="11" t="n">
        <x:f>STDEV('Συχνότητα δεδομένα'!W7:W11)*1</x:f>
        <x:v>0.007565242314002435</x:v>
      </x:c>
      <x:c r="I8" s="11" t="n">
        <x:f>AVERAGE('Συχνότητα δεδομένα'!Y7:Y11)*100</x:f>
        <x:v>0</x:v>
      </x:c>
      <x:c r="J8" s="11" t="n">
        <x:f>STDEV('Συχνότητα δεδομένα'!Y7:Y11)*100</x:f>
        <x:v>0</x:v>
      </x:c>
      <x:c r="K8" s="11" t="n">
        <x:f>AVERAGE('Συχνότητα δεδομένα'!X7:X11)*1</x:f>
        <x:v>0.1003002806</x:v>
      </x:c>
      <x:c r="L8" s="11" t="n">
        <x:f>STDEV('Συχνότητα δεδομένα'!X7:X11)*1</x:f>
        <x:v>0.00003942658217243612</x:v>
      </x:c>
    </x:row>
    <x:row r="9" ht="23" customHeight="1">
      <x:c r="A9" s="9" t="n">
        <x:f>'Συχνότητα δεδομένα'!Q12/1000000000</x:f>
        <x:v>3.5</x:v>
      </x:c>
      <x:c r="B9" s="10" t="n">
        <x:f>COUNT('Συχνότητα δεδομένα'!T12:T16)</x:f>
        <x:v>5</x:v>
      </x:c>
      <x:c r="C9" s="11" t="n">
        <x:f>AVERAGE('Συχνότητα δεδομένα'!U12:U16)*1</x:f>
        <x:v>203.9995104</x:v>
      </x:c>
      <x:c r="D9" s="11" t="n">
        <x:f>STDEV('Συχνότητα δεδομένα'!U12:U16)*1</x:f>
        <x:v>0</x:v>
      </x:c>
      <x:c r="E9" s="11" t="n">
        <x:f>AVERAGE('Συχνότητα δεδομένα'!V12:V16)*1</x:f>
        <x:v>199.99952</x:v>
      </x:c>
      <x:c r="F9" s="11" t="n">
        <x:f>STDEV('Συχνότητα δεδομένα'!V12:V16)*1</x:f>
        <x:v>0</x:v>
      </x:c>
      <x:c r="G9" s="11" t="n">
        <x:f>AVERAGE('Συχνότητα δεδομένα'!W12:W16)*1</x:f>
        <x:v>3.6507803539999997</x:v>
      </x:c>
      <x:c r="H9" s="11" t="n">
        <x:f>STDEV('Συχνότητα δεδομένα'!W12:W16)*1</x:f>
        <x:v>0.003964022385571858</x:v>
      </x:c>
      <x:c r="I9" s="11" t="n">
        <x:f>AVERAGE('Συχνότητα δεδομένα'!Y12:Y16)*100</x:f>
        <x:v>0</x:v>
      </x:c>
      <x:c r="J9" s="11" t="n">
        <x:f>STDEV('Συχνότητα δεδομένα'!Y12:Y16)*100</x:f>
        <x:v>0</x:v>
      </x:c>
      <x:c r="K9" s="11" t="n">
        <x:f>AVERAGE('Συχνότητα δεδομένα'!X12:X16)*1</x:f>
        <x:v>0.0990438124</x:v>
      </x:c>
      <x:c r="L9" s="11" t="n">
        <x:f>STDEV('Συχνότητα δεδομένα'!X12:X16)*1</x:f>
        <x:v>0.00004979712989520945</x:v>
      </x:c>
    </x:row>
    <x:row r="10" ht="23" customHeight="1">
      <x:c r="A10" s="9" t="n">
        <x:f>'Συχνότητα δεδομένα'!Q17/1000000000</x:f>
        <x:v>5</x:v>
      </x:c>
      <x:c r="B10" s="10" t="n">
        <x:f>COUNT('Συχνότητα δεδομένα'!T17:T21)</x:f>
        <x:v>5</x:v>
      </x:c>
      <x:c r="C10" s="11" t="n">
        <x:f>AVERAGE('Συχνότητα δεδομένα'!U17:U21)*1</x:f>
        <x:v>185.2824288</x:v>
      </x:c>
      <x:c r="D10" s="11" t="n">
        <x:f>STDEV('Συχνότητα δεδομένα'!U17:U21)*1</x:f>
        <x:v>0</x:v>
      </x:c>
      <x:c r="E10" s="11" t="n">
        <x:f>AVERAGE('Συχνότητα δεδομένα'!V17:V21)*1</x:f>
        <x:v>181.64944</x:v>
      </x:c>
      <x:c r="F10" s="11" t="n">
        <x:f>STDEV('Συχνότητα δεδομένα'!V17:V21)*1</x:f>
        <x:v>0</x:v>
      </x:c>
      <x:c r="G10" s="11" t="n">
        <x:f>AVERAGE('Συχνότητα δεδομένα'!W17:W21)*1</x:f>
        <x:v>46.424109605999995</x:v>
      </x:c>
      <x:c r="H10" s="11" t="n">
        <x:f>STDEV('Συχνότητα δεδομένα'!W17:W21)*1</x:f>
        <x:v>0.0053163271289929865</x:v>
      </x:c>
      <x:c r="I10" s="11" t="n">
        <x:f>AVERAGE('Συχνότητα δεδομένα'!Y17:Y21)*100</x:f>
        <x:v>9.175062</x:v>
      </x:c>
      <x:c r="J10" s="11" t="n">
        <x:f>STDEV('Συχνότητα δεδομένα'!Y17:Y21)*100</x:f>
        <x:v>0</x:v>
      </x:c>
      <x:c r="K10" s="11" t="n">
        <x:f>AVERAGE('Συχνότητα δεδομένα'!X17:X21)*1</x:f>
        <x:v>0.1088347832</x:v>
      </x:c>
      <x:c r="L10" s="11" t="n">
        <x:f>STDEV('Συχνότητα δεδομένα'!X17:X21)*1</x:f>
        <x:v>0.000030515243808625126</x:v>
      </x:c>
    </x:row>
    <x:row r="11" ht="23" customHeight="1">
      <x:c r="A11" s="9" t="n">
        <x:f>'Συχνότητα δεδομένα'!Q22/1000000000</x:f>
        <x:v>7</x:v>
      </x:c>
      <x:c r="B11" s="10" t="n">
        <x:f>COUNT('Συχνότητα δεδομένα'!T22:T26)</x:f>
        <x:v>5</x:v>
      </x:c>
      <x:c r="C11" s="11" t="n">
        <x:f>AVERAGE('Συχνότητα δεδομένα'!U22:U26)*1</x:f>
        <x:v>134.9277216</x:v>
      </x:c>
      <x:c r="D11" s="11" t="n">
        <x:f>STDEV('Συχνότητα δεδομένα'!U22:U26)*1</x:f>
        <x:v>0</x:v>
      </x:c>
      <x:c r="E11" s="11" t="n">
        <x:f>AVERAGE('Συχνότητα δεδομένα'!V22:V26)*1</x:f>
        <x:v>132.28208</x:v>
      </x:c>
      <x:c r="F11" s="11" t="n">
        <x:f>STDEV('Συχνότητα δεδομένα'!V22:V26)*1</x:f>
        <x:v>0</x:v>
      </x:c>
      <x:c r="G11" s="11" t="n">
        <x:f>AVERAGE('Συχνότητα δεδομένα'!W22:W26)*1</x:f>
        <x:v>63.991531024000004</x:v>
      </x:c>
      <x:c r="H11" s="11" t="n">
        <x:f>STDEV('Συχνότητα δεδομένα'!W22:W26)*1</x:f>
        <x:v>0.0017636732778424126</x:v>
      </x:c>
      <x:c r="I11" s="11" t="n">
        <x:f>AVERAGE('Συχνότητα δεδομένα'!Y22:Y26)*100</x:f>
        <x:v>33.8588013</x:v>
      </x:c>
      <x:c r="J11" s="11" t="n">
        <x:f>STDEV('Συχνότητα δεδομένα'!Y22:Y26)*100</x:f>
        <x:v>0</x:v>
      </x:c>
      <x:c r="K11" s="11" t="n">
        <x:f>AVERAGE('Συχνότητα δεδομένα'!X22:X26)*1</x:f>
        <x:v>0.128077007</x:v>
      </x:c>
      <x:c r="L11" s="11" t="n">
        <x:f>STDEV('Συχνότητα δεδομένα'!X22:X26)*1</x:f>
        <x:v>0.0001473843507075975</x:v>
      </x:c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 t="str">
        <x:v>Γραφήματα: μέσος όρος ±1 SD (όχι διάστημα εμπιστοσύνης). Μηδενική SD: η μπάρα δεν διακρίνεται.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3" customHeight="1">
      <x:c r="A66" s="2" t="str">
        <x:v>Μεταβάλλεται μόνο η συχνότητα φέροντος. Δεν πρόκειται για σύγκριση διαφορετικών μοντέλων διάδοσης.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 t="str">
        <x:v>1 UE, 1 gNB, UDP uplink, Friis, χωρίς fading/shadowing. Απόσταση 100 m, UE Tx 10 dBm.</x:v>
      </x:c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3" customHeight="1">
      <x:c r="A68" s="2" t="str">
        <x:v>Bandwidth 100 MHz, load 200 Mbps, numerology 2, TDD DL|UL|UL|UL|, payload 1400 bytes, RLC UM 1048576 bytes.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3" customHeight="1">
      <x:c r="A69" s="2" t="str">
        <x:v>Application 1–11 s, drain 2 s. Throughput / goodput = παραληφθέντα bytes ×8 /10 s.</x:v>
      </x:c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3" customHeight="1">
      <x:c r="A70" s="2" t="str">
        <x:v>Το IP throughput περιλαμβάνει headers. Το goodput αφορά payload. Delay/jitter: μόνο παραληφθέντα πακέτα.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3" customHeight="1">
      <x:c r="A71" s="2" t="str">
        <x:v>Απώλειες μετά το drain: ενδέχεται να περιλαμβάνουν πακέτα σε ουρά. Δεν έγινε πρόσθετος έλεγχος μεγαλύτερου drain.</x:v>
      </x:c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3" customHeight="1">
      <x:c r="A72" s="2" t="str">
        <x:v>Οι σταθερές ρυθμίσεις ελέγχθηκαν εντός κάθε μελέτης. Οι διαφορετικές μελέτες παραμένουν χωριστές.</x:v>
      </x:c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</x:sheetData>
  <x:pageMargins left="0.7" right="0.7" top="0.75" bottom="0.75" header="0.3" footer="0.3"/>
  <x:drawing xmlns:r="http://schemas.openxmlformats.org/officeDocument/2006/relationships" r:id="R2d5ec2f3a10b4acb"/>
</x:worksheet>
</file>

<file path=xl/worksheets/sheet2.xml><?xml version="1.0" encoding="utf-8"?>
<x:worksheet xmlns:x="http://schemas.openxmlformats.org/spreadsheetml/2006/main">
  <x:sheetPr>
    <x:tabColor rgb="FF234B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70" hidden="0" customWidth="1"/>
    <x:col min="7" max="7" width="70" hidden="0" customWidth="1"/>
    <x:col min="8" max="8" width="7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70" hidden="0" customWidth="1"/>
  </x:cols>
  <x:sheetData>
    <x:row r="1" ht="76" customHeight="1">
      <x:c r="A1" s="6" t="str">
        <x:v>status</x:v>
      </x:c>
      <x:c r="B1" s="6" t="str">
        <x:v>experiment_index</x:v>
      </x:c>
      <x:c r="C1" s="6" t="str">
        <x:v>experiment_id</x:v>
      </x:c>
      <x:c r="D1" s="6" t="str">
        <x:v>n8n_execution_id</x:v>
      </x:c>
      <x:c r="E1" s="6" t="str">
        <x:v>data_source</x:v>
      </x:c>
      <x:c r="F1" s="6" t="str">
        <x:v>config_path</x:v>
      </x:c>
      <x:c r="G1" s="6" t="str">
        <x:v>results_path</x:v>
      </x:c>
      <x:c r="H1" s="6" t="str">
        <x:v>experiment_dir</x:v>
      </x:c>
      <x:c r="I1" s="6" t="str">
        <x:v>ue_distance_2d_m</x:v>
      </x:c>
      <x:c r="J1" s="6" t="str">
        <x:v>ue_distance_3d_m</x:v>
      </x:c>
      <x:c r="K1" s="6" t="str">
        <x:v>ue_tx_power_dbm</x:v>
      </x:c>
      <x:c r="L1" s="6" t="str">
        <x:v>offered_load_mbps</x:v>
      </x:c>
      <x:c r="M1" s="6" t="str">
        <x:v>bandwidth_hz</x:v>
      </x:c>
      <x:c r="N1" s="6" t="str">
        <x:v>numerology</x:v>
      </x:c>
      <x:c r="O1" s="6" t="str">
        <x:v>tdd_pattern</x:v>
      </x:c>
      <x:c r="P1" s="6" t="str">
        <x:v>packet_size_bytes</x:v>
      </x:c>
      <x:c r="Q1" s="6" t="str">
        <x:v>carrier_frequency_hz</x:v>
      </x:c>
      <x:c r="R1" s="6" t="str">
        <x:v>rlc_buffer_size_bytes</x:v>
      </x:c>
      <x:c r="S1" s="6" t="str">
        <x:v>rng_seed</x:v>
      </x:c>
      <x:c r="T1" s="6" t="str">
        <x:v>rng_run</x:v>
      </x:c>
      <x:c r="U1" s="6" t="str">
        <x:v>throughput_mbps</x:v>
      </x:c>
      <x:c r="V1" s="6" t="str">
        <x:v>app_goodput_mbps</x:v>
      </x:c>
      <x:c r="W1" s="6" t="str">
        <x:v>end_to_end_delay_ms</x:v>
      </x:c>
      <x:c r="X1" s="6" t="str">
        <x:v>jitter_ms</x:v>
      </x:c>
      <x:c r="Y1" s="6" t="str">
        <x:v>loss_fraction</x:v>
      </x:c>
      <x:c r="Z1" s="6" t="str">
        <x:v>tx_packets</x:v>
      </x:c>
      <x:c r="AA1" s="6" t="str">
        <x:v>rx_packets</x:v>
      </x:c>
      <x:c r="AB1" s="6" t="str">
        <x:v>ip_rx_bytes</x:v>
      </x:c>
      <x:c r="AC1" s="6" t="str">
        <x:v>unreceived_packets_after_drain</x:v>
      </x:c>
      <x:c r="AD1" s="6" t="str">
        <x:v>source_csv</x:v>
      </x:c>
    </x:row>
    <x:row r="2" ht="23" customHeight="1">
      <x:c r="A2" s="2" t="str">
        <x:v>success</x:v>
      </x:c>
      <x:c r="B2" s="2" t="n">
        <x:v>1</x:v>
      </x:c>
      <x:c r="C2" s="2" t="str">
        <x:v>fc_1000mhz_run_1</x:v>
      </x:c>
      <x:c r="D2" s="2" t="n">
        <x:v>127</x:v>
      </x:c>
      <x:c r="E2" s="2" t="str">
        <x:v>ns3</x:v>
      </x:c>
      <x:c r="F2" s="2" t="str">
        <x:v>experiments/execution_127/experiment_1/config.json</x:v>
      </x:c>
      <x:c r="G2" s="2" t="str">
        <x:v>experiments/execution_127/experiment_1/results.json</x:v>
      </x:c>
      <x:c r="H2" s="2" t="str">
        <x:v>/home/dinos/ns-allinone-3.47/ns-3.47/experiments/execution_127/experiment_1</x:v>
      </x:c>
      <x:c r="I2" s="2" t="n">
        <x:v>100</x:v>
      </x:c>
      <x:c r="J2" s="2" t="n">
        <x:v>100.3605998</x:v>
      </x:c>
      <x:c r="K2" s="2" t="n">
        <x:v>10</x:v>
      </x:c>
      <x:c r="L2" s="2" t="n">
        <x:v>200</x:v>
      </x:c>
      <x:c r="M2" s="2" t="n">
        <x:v>100000000</x:v>
      </x:c>
      <x:c r="N2" s="2" t="n">
        <x:v>2</x:v>
      </x:c>
      <x:c r="O2" s="2" t="str">
        <x:v>DL|UL|UL|UL|</x:v>
      </x:c>
      <x:c r="P2" s="2" t="n">
        <x:v>1400</x:v>
      </x:c>
      <x:c r="Q2" s="2" t="n">
        <x:v>1000000000</x:v>
      </x:c>
      <x:c r="R2" s="2" t="n">
        <x:v>1048576</x:v>
      </x:c>
      <x:c r="S2" s="2" t="n">
        <x:v>42</x:v>
      </x:c>
      <x:c r="T2" s="2" t="n">
        <x:v>1</x:v>
      </x:c>
      <x:c r="U2" s="7" t="n">
        <x:v>203.9995104</x:v>
      </x:c>
      <x:c r="V2" s="7" t="n">
        <x:v>199.99952</x:v>
      </x:c>
      <x:c r="W2" s="7" t="n">
        <x:v>3.637938599</x:v>
      </x:c>
      <x:c r="X2" s="7" t="n">
        <x:v>0.10026554</x:v>
      </x:c>
      <x:c r="Y2" s="7" t="n">
        <x:v>0</x:v>
      </x:c>
      <x:c r="Z2" s="2" t="n">
        <x:v>178571</x:v>
      </x:c>
      <x:c r="AA2" s="2" t="n">
        <x:v>178571</x:v>
      </x:c>
      <x:c r="AB2" s="2" t="n">
        <x:v>254999388</x:v>
      </x:c>
      <x:c r="AC2" s="2" t="n">
        <x:v>0</x:v>
      </x:c>
      <x:c r="AD2" s="2" t="str">
        <x:v>experiments/execution_127/batch_dataset.csv</x:v>
      </x:c>
    </x:row>
    <x:row r="3" ht="23" customHeight="1">
      <x:c r="A3" s="2" t="str">
        <x:v>success</x:v>
      </x:c>
      <x:c r="B3" s="2" t="n">
        <x:v>1</x:v>
      </x:c>
      <x:c r="C3" s="2" t="str">
        <x:v>fc_1000mhz_run_2</x:v>
      </x:c>
      <x:c r="D3" s="2" t="n">
        <x:v>130</x:v>
      </x:c>
      <x:c r="E3" s="2" t="str">
        <x:v>ns3</x:v>
      </x:c>
      <x:c r="F3" s="2" t="str">
        <x:v>experiments/execution_130/experiment_1/config.json</x:v>
      </x:c>
      <x:c r="G3" s="2" t="str">
        <x:v>experiments/execution_130/experiment_1/results.json</x:v>
      </x:c>
      <x:c r="H3" s="2" t="str">
        <x:v>/home/dinos/ns-allinone-3.47/ns-3.47/experiments/execution_130/experiment_1</x:v>
      </x:c>
      <x:c r="I3" s="2" t="n">
        <x:v>100</x:v>
      </x:c>
      <x:c r="J3" s="2" t="n">
        <x:v>100.3605998</x:v>
      </x:c>
      <x:c r="K3" s="2" t="n">
        <x:v>10</x:v>
      </x:c>
      <x:c r="L3" s="2" t="n">
        <x:v>200</x:v>
      </x:c>
      <x:c r="M3" s="2" t="n">
        <x:v>100000000</x:v>
      </x:c>
      <x:c r="N3" s="2" t="n">
        <x:v>2</x:v>
      </x:c>
      <x:c r="O3" s="2" t="str">
        <x:v>DL|UL|UL|UL|</x:v>
      </x:c>
      <x:c r="P3" s="2" t="n">
        <x:v>1400</x:v>
      </x:c>
      <x:c r="Q3" s="2" t="n">
        <x:v>1000000000</x:v>
      </x:c>
      <x:c r="R3" s="2" t="n">
        <x:v>1048576</x:v>
      </x:c>
      <x:c r="S3" s="2" t="n">
        <x:v>42</x:v>
      </x:c>
      <x:c r="T3" s="2" t="n">
        <x:v>2</x:v>
      </x:c>
      <x:c r="U3" s="7" t="n">
        <x:v>203.9995104</x:v>
      </x:c>
      <x:c r="V3" s="7" t="n">
        <x:v>199.99952</x:v>
      </x:c>
      <x:c r="W3" s="7" t="n">
        <x:v>3.641319532</x:v>
      </x:c>
      <x:c r="X3" s="7" t="n">
        <x:v>0.100258574</x:v>
      </x:c>
      <x:c r="Y3" s="7" t="n">
        <x:v>0</x:v>
      </x:c>
      <x:c r="Z3" s="2" t="n">
        <x:v>178571</x:v>
      </x:c>
      <x:c r="AA3" s="2" t="n">
        <x:v>178571</x:v>
      </x:c>
      <x:c r="AB3" s="2" t="n">
        <x:v>254999388</x:v>
      </x:c>
      <x:c r="AC3" s="2" t="n">
        <x:v>0</x:v>
      </x:c>
      <x:c r="AD3" s="2" t="str">
        <x:v>experiments/execution_130/batch_dataset.csv</x:v>
      </x:c>
    </x:row>
    <x:row r="4" ht="23" customHeight="1">
      <x:c r="A4" s="2" t="str">
        <x:v>success</x:v>
      </x:c>
      <x:c r="B4" s="2" t="n">
        <x:v>1</x:v>
      </x:c>
      <x:c r="C4" s="2" t="str">
        <x:v>fc_1000mhz_run_3</x:v>
      </x:c>
      <x:c r="D4" s="2" t="n">
        <x:v>131</x:v>
      </x:c>
      <x:c r="E4" s="2" t="str">
        <x:v>ns3</x:v>
      </x:c>
      <x:c r="F4" s="2" t="str">
        <x:v>experiments/execution_131/experiment_1/config.json</x:v>
      </x:c>
      <x:c r="G4" s="2" t="str">
        <x:v>experiments/execution_131/experiment_1/results.json</x:v>
      </x:c>
      <x:c r="H4" s="2" t="str">
        <x:v>/home/dinos/ns-allinone-3.47/ns-3.47/experiments/execution_131/experiment_1</x:v>
      </x:c>
      <x:c r="I4" s="2" t="n">
        <x:v>100</x:v>
      </x:c>
      <x:c r="J4" s="2" t="n">
        <x:v>100.3605998</x:v>
      </x:c>
      <x:c r="K4" s="2" t="n">
        <x:v>10</x:v>
      </x:c>
      <x:c r="L4" s="2" t="n">
        <x:v>200</x:v>
      </x:c>
      <x:c r="M4" s="2" t="n">
        <x:v>100000000</x:v>
      </x:c>
      <x:c r="N4" s="2" t="n">
        <x:v>2</x:v>
      </x:c>
      <x:c r="O4" s="2" t="str">
        <x:v>DL|UL|UL|UL|</x:v>
      </x:c>
      <x:c r="P4" s="2" t="n">
        <x:v>1400</x:v>
      </x:c>
      <x:c r="Q4" s="2" t="n">
        <x:v>1000000000</x:v>
      </x:c>
      <x:c r="R4" s="2" t="n">
        <x:v>1048576</x:v>
      </x:c>
      <x:c r="S4" s="2" t="n">
        <x:v>42</x:v>
      </x:c>
      <x:c r="T4" s="2" t="n">
        <x:v>3</x:v>
      </x:c>
      <x:c r="U4" s="7" t="n">
        <x:v>203.9995104</x:v>
      </x:c>
      <x:c r="V4" s="7" t="n">
        <x:v>199.99952</x:v>
      </x:c>
      <x:c r="W4" s="7" t="n">
        <x:v>3.634514861</x:v>
      </x:c>
      <x:c r="X4" s="7" t="n">
        <x:v>0.100271965</x:v>
      </x:c>
      <x:c r="Y4" s="7" t="n">
        <x:v>0</x:v>
      </x:c>
      <x:c r="Z4" s="2" t="n">
        <x:v>178571</x:v>
      </x:c>
      <x:c r="AA4" s="2" t="n">
        <x:v>178571</x:v>
      </x:c>
      <x:c r="AB4" s="2" t="n">
        <x:v>254999388</x:v>
      </x:c>
      <x:c r="AC4" s="2" t="n">
        <x:v>0</x:v>
      </x:c>
      <x:c r="AD4" s="2" t="str">
        <x:v>experiments/execution_131/batch_dataset.csv</x:v>
      </x:c>
    </x:row>
    <x:row r="5" ht="23" customHeight="1">
      <x:c r="A5" s="2" t="str">
        <x:v>success</x:v>
      </x:c>
      <x:c r="B5" s="2" t="n">
        <x:v>1</x:v>
      </x:c>
      <x:c r="C5" s="2" t="str">
        <x:v>fc_1000mhz_run_4</x:v>
      </x:c>
      <x:c r="D5" s="2" t="n">
        <x:v>132</x:v>
      </x:c>
      <x:c r="E5" s="2" t="str">
        <x:v>ns3</x:v>
      </x:c>
      <x:c r="F5" s="2" t="str">
        <x:v>experiments/execution_132/experiment_1/config.json</x:v>
      </x:c>
      <x:c r="G5" s="2" t="str">
        <x:v>experiments/execution_132/experiment_1/results.json</x:v>
      </x:c>
      <x:c r="H5" s="2" t="str">
        <x:v>/home/dinos/ns-allinone-3.47/ns-3.47/experiments/execution_132/experiment_1</x:v>
      </x:c>
      <x:c r="I5" s="2" t="n">
        <x:v>100</x:v>
      </x:c>
      <x:c r="J5" s="2" t="n">
        <x:v>100.3605998</x:v>
      </x:c>
      <x:c r="K5" s="2" t="n">
        <x:v>10</x:v>
      </x:c>
      <x:c r="L5" s="2" t="n">
        <x:v>200</x:v>
      </x:c>
      <x:c r="M5" s="2" t="n">
        <x:v>100000000</x:v>
      </x:c>
      <x:c r="N5" s="2" t="n">
        <x:v>2</x:v>
      </x:c>
      <x:c r="O5" s="2" t="str">
        <x:v>DL|UL|UL|UL|</x:v>
      </x:c>
      <x:c r="P5" s="2" t="n">
        <x:v>1400</x:v>
      </x:c>
      <x:c r="Q5" s="2" t="n">
        <x:v>1000000000</x:v>
      </x:c>
      <x:c r="R5" s="2" t="n">
        <x:v>1048576</x:v>
      </x:c>
      <x:c r="S5" s="2" t="n">
        <x:v>42</x:v>
      </x:c>
      <x:c r="T5" s="2" t="n">
        <x:v>4</x:v>
      </x:c>
      <x:c r="U5" s="7" t="n">
        <x:v>203.9995104</x:v>
      </x:c>
      <x:c r="V5" s="7" t="n">
        <x:v>199.99952</x:v>
      </x:c>
      <x:c r="W5" s="7" t="n">
        <x:v>3.64738158</x:v>
      </x:c>
      <x:c r="X5" s="7" t="n">
        <x:v>0.100326603</x:v>
      </x:c>
      <x:c r="Y5" s="7" t="n">
        <x:v>0</x:v>
      </x:c>
      <x:c r="Z5" s="2" t="n">
        <x:v>178571</x:v>
      </x:c>
      <x:c r="AA5" s="2" t="n">
        <x:v>178571</x:v>
      </x:c>
      <x:c r="AB5" s="2" t="n">
        <x:v>254999388</x:v>
      </x:c>
      <x:c r="AC5" s="2" t="n">
        <x:v>0</x:v>
      </x:c>
      <x:c r="AD5" s="2" t="str">
        <x:v>experiments/execution_132/batch_dataset.csv</x:v>
      </x:c>
    </x:row>
    <x:row r="6" ht="23" customHeight="1">
      <x:c r="A6" s="2" t="str">
        <x:v>success</x:v>
      </x:c>
      <x:c r="B6" s="2" t="n">
        <x:v>1</x:v>
      </x:c>
      <x:c r="C6" s="2" t="str">
        <x:v>fc_1000mhz_run_5</x:v>
      </x:c>
      <x:c r="D6" s="2" t="n">
        <x:v>133</x:v>
      </x:c>
      <x:c r="E6" s="2" t="str">
        <x:v>ns3</x:v>
      </x:c>
      <x:c r="F6" s="2" t="str">
        <x:v>experiments/execution_133/experiment_1/config.json</x:v>
      </x:c>
      <x:c r="G6" s="2" t="str">
        <x:v>experiments/execution_133/experiment_1/results.json</x:v>
      </x:c>
      <x:c r="H6" s="2" t="str">
        <x:v>/home/dinos/ns-allinone-3.47/ns-3.47/experiments/execution_133/experiment_1</x:v>
      </x:c>
      <x:c r="I6" s="2" t="n">
        <x:v>100</x:v>
      </x:c>
      <x:c r="J6" s="2" t="n">
        <x:v>100.3605998</x:v>
      </x:c>
      <x:c r="K6" s="2" t="n">
        <x:v>10</x:v>
      </x:c>
      <x:c r="L6" s="2" t="n">
        <x:v>200</x:v>
      </x:c>
      <x:c r="M6" s="2" t="n">
        <x:v>100000000</x:v>
      </x:c>
      <x:c r="N6" s="2" t="n">
        <x:v>2</x:v>
      </x:c>
      <x:c r="O6" s="2" t="str">
        <x:v>DL|UL|UL|UL|</x:v>
      </x:c>
      <x:c r="P6" s="2" t="n">
        <x:v>1400</x:v>
      </x:c>
      <x:c r="Q6" s="2" t="n">
        <x:v>1000000000</x:v>
      </x:c>
      <x:c r="R6" s="2" t="n">
        <x:v>1048576</x:v>
      </x:c>
      <x:c r="S6" s="2" t="n">
        <x:v>42</x:v>
      </x:c>
      <x:c r="T6" s="2" t="n">
        <x:v>5</x:v>
      </x:c>
      <x:c r="U6" s="7" t="n">
        <x:v>203.9995104</x:v>
      </x:c>
      <x:c r="V6" s="7" t="n">
        <x:v>199.99952</x:v>
      </x:c>
      <x:c r="W6" s="7" t="n">
        <x:v>3.649861074</x:v>
      </x:c>
      <x:c r="X6" s="7" t="n">
        <x:v>0.100318678</x:v>
      </x:c>
      <x:c r="Y6" s="7" t="n">
        <x:v>0</x:v>
      </x:c>
      <x:c r="Z6" s="2" t="n">
        <x:v>178571</x:v>
      </x:c>
      <x:c r="AA6" s="2" t="n">
        <x:v>178571</x:v>
      </x:c>
      <x:c r="AB6" s="2" t="n">
        <x:v>254999388</x:v>
      </x:c>
      <x:c r="AC6" s="2" t="n">
        <x:v>0</x:v>
      </x:c>
      <x:c r="AD6" s="2" t="str">
        <x:v>experiments/execution_133/batch_dataset.csv</x:v>
      </x:c>
    </x:row>
    <x:row r="7" ht="23" customHeight="1">
      <x:c r="A7" s="2" t="str">
        <x:v>success</x:v>
      </x:c>
      <x:c r="B7" s="2" t="n">
        <x:v>2</x:v>
      </x:c>
      <x:c r="C7" s="2" t="str">
        <x:v>fc_2000mhz_run_1</x:v>
      </x:c>
      <x:c r="D7" s="2" t="n">
        <x:v>127</x:v>
      </x:c>
      <x:c r="E7" s="2" t="str">
        <x:v>ns3</x:v>
      </x:c>
      <x:c r="F7" s="2" t="str">
        <x:v>experiments/execution_127/experiment_2/config.json</x:v>
      </x:c>
      <x:c r="G7" s="2" t="str">
        <x:v>experiments/execution_127/experiment_2/results.json</x:v>
      </x:c>
      <x:c r="H7" s="2" t="str">
        <x:v>/home/dinos/ns-allinone-3.47/ns-3.47/experiments/execution_127/experiment_2</x:v>
      </x:c>
      <x:c r="I7" s="2" t="n">
        <x:v>100</x:v>
      </x:c>
      <x:c r="J7" s="2" t="n">
        <x:v>100.3605998</x:v>
      </x:c>
      <x:c r="K7" s="2" t="n">
        <x:v>10</x:v>
      </x:c>
      <x:c r="L7" s="2" t="n">
        <x:v>200</x:v>
      </x:c>
      <x:c r="M7" s="2" t="n">
        <x:v>100000000</x:v>
      </x:c>
      <x:c r="N7" s="2" t="n">
        <x:v>2</x:v>
      </x:c>
      <x:c r="O7" s="2" t="str">
        <x:v>DL|UL|UL|UL|</x:v>
      </x:c>
      <x:c r="P7" s="2" t="n">
        <x:v>1400</x:v>
      </x:c>
      <x:c r="Q7" s="2" t="n">
        <x:v>2000000000</x:v>
      </x:c>
      <x:c r="R7" s="2" t="n">
        <x:v>1048576</x:v>
      </x:c>
      <x:c r="S7" s="2" t="n">
        <x:v>42</x:v>
      </x:c>
      <x:c r="T7" s="2" t="n">
        <x:v>1</x:v>
      </x:c>
      <x:c r="U7" s="7" t="n">
        <x:v>203.9995104</x:v>
      </x:c>
      <x:c r="V7" s="7" t="n">
        <x:v>199.99952</x:v>
      </x:c>
      <x:c r="W7" s="7" t="n">
        <x:v>3.632386111</x:v>
      </x:c>
      <x:c r="X7" s="7" t="n">
        <x:v>0.100257286</x:v>
      </x:c>
      <x:c r="Y7" s="7" t="n">
        <x:v>0</x:v>
      </x:c>
      <x:c r="Z7" s="2" t="n">
        <x:v>178571</x:v>
      </x:c>
      <x:c r="AA7" s="2" t="n">
        <x:v>178571</x:v>
      </x:c>
      <x:c r="AB7" s="2" t="n">
        <x:v>254999388</x:v>
      </x:c>
      <x:c r="AC7" s="2" t="n">
        <x:v>0</x:v>
      </x:c>
      <x:c r="AD7" s="2" t="str">
        <x:v>experiments/execution_127/batch_dataset.csv</x:v>
      </x:c>
    </x:row>
    <x:row r="8" ht="23" customHeight="1">
      <x:c r="A8" s="2" t="str">
        <x:v>success</x:v>
      </x:c>
      <x:c r="B8" s="2" t="n">
        <x:v>2</x:v>
      </x:c>
      <x:c r="C8" s="2" t="str">
        <x:v>fc_2000mhz_run_2</x:v>
      </x:c>
      <x:c r="D8" s="2" t="n">
        <x:v>130</x:v>
      </x:c>
      <x:c r="E8" s="2" t="str">
        <x:v>ns3</x:v>
      </x:c>
      <x:c r="F8" s="2" t="str">
        <x:v>experiments/execution_130/experiment_2/config.json</x:v>
      </x:c>
      <x:c r="G8" s="2" t="str">
        <x:v>experiments/execution_130/experiment_2/results.json</x:v>
      </x:c>
      <x:c r="H8" s="2" t="str">
        <x:v>/home/dinos/ns-allinone-3.47/ns-3.47/experiments/execution_130/experiment_2</x:v>
      </x:c>
      <x:c r="I8" s="2" t="n">
        <x:v>100</x:v>
      </x:c>
      <x:c r="J8" s="2" t="n">
        <x:v>100.3605998</x:v>
      </x:c>
      <x:c r="K8" s="2" t="n">
        <x:v>10</x:v>
      </x:c>
      <x:c r="L8" s="2" t="n">
        <x:v>200</x:v>
      </x:c>
      <x:c r="M8" s="2" t="n">
        <x:v>100000000</x:v>
      </x:c>
      <x:c r="N8" s="2" t="n">
        <x:v>2</x:v>
      </x:c>
      <x:c r="O8" s="2" t="str">
        <x:v>DL|UL|UL|UL|</x:v>
      </x:c>
      <x:c r="P8" s="2" t="n">
        <x:v>1400</x:v>
      </x:c>
      <x:c r="Q8" s="2" t="n">
        <x:v>2000000000</x:v>
      </x:c>
      <x:c r="R8" s="2" t="n">
        <x:v>1048576</x:v>
      </x:c>
      <x:c r="S8" s="2" t="n">
        <x:v>42</x:v>
      </x:c>
      <x:c r="T8" s="2" t="n">
        <x:v>2</x:v>
      </x:c>
      <x:c r="U8" s="7" t="n">
        <x:v>203.9995104</x:v>
      </x:c>
      <x:c r="V8" s="7" t="n">
        <x:v>199.99952</x:v>
      </x:c>
      <x:c r="W8" s="7" t="n">
        <x:v>3.641319532</x:v>
      </x:c>
      <x:c r="X8" s="7" t="n">
        <x:v>0.100258574</x:v>
      </x:c>
      <x:c r="Y8" s="7" t="n">
        <x:v>0</x:v>
      </x:c>
      <x:c r="Z8" s="2" t="n">
        <x:v>178571</x:v>
      </x:c>
      <x:c r="AA8" s="2" t="n">
        <x:v>178571</x:v>
      </x:c>
      <x:c r="AB8" s="2" t="n">
        <x:v>254999388</x:v>
      </x:c>
      <x:c r="AC8" s="2" t="n">
        <x:v>0</x:v>
      </x:c>
      <x:c r="AD8" s="2" t="str">
        <x:v>experiments/execution_130/batch_dataset.csv</x:v>
      </x:c>
    </x:row>
    <x:row r="9" ht="23" customHeight="1">
      <x:c r="A9" s="2" t="str">
        <x:v>success</x:v>
      </x:c>
      <x:c r="B9" s="2" t="n">
        <x:v>2</x:v>
      </x:c>
      <x:c r="C9" s="2" t="str">
        <x:v>fc_2000mhz_run_3</x:v>
      </x:c>
      <x:c r="D9" s="2" t="n">
        <x:v>131</x:v>
      </x:c>
      <x:c r="E9" s="2" t="str">
        <x:v>ns3</x:v>
      </x:c>
      <x:c r="F9" s="2" t="str">
        <x:v>experiments/execution_131/experiment_2/config.json</x:v>
      </x:c>
      <x:c r="G9" s="2" t="str">
        <x:v>experiments/execution_131/experiment_2/results.json</x:v>
      </x:c>
      <x:c r="H9" s="2" t="str">
        <x:v>/home/dinos/ns-allinone-3.47/ns-3.47/experiments/execution_131/experiment_2</x:v>
      </x:c>
      <x:c r="I9" s="2" t="n">
        <x:v>100</x:v>
      </x:c>
      <x:c r="J9" s="2" t="n">
        <x:v>100.3605998</x:v>
      </x:c>
      <x:c r="K9" s="2" t="n">
        <x:v>10</x:v>
      </x:c>
      <x:c r="L9" s="2" t="n">
        <x:v>200</x:v>
      </x:c>
      <x:c r="M9" s="2" t="n">
        <x:v>100000000</x:v>
      </x:c>
      <x:c r="N9" s="2" t="n">
        <x:v>2</x:v>
      </x:c>
      <x:c r="O9" s="2" t="str">
        <x:v>DL|UL|UL|UL|</x:v>
      </x:c>
      <x:c r="P9" s="2" t="n">
        <x:v>1400</x:v>
      </x:c>
      <x:c r="Q9" s="2" t="n">
        <x:v>2000000000</x:v>
      </x:c>
      <x:c r="R9" s="2" t="n">
        <x:v>1048576</x:v>
      </x:c>
      <x:c r="S9" s="2" t="n">
        <x:v>42</x:v>
      </x:c>
      <x:c r="T9" s="2" t="n">
        <x:v>3</x:v>
      </x:c>
      <x:c r="U9" s="7" t="n">
        <x:v>203.9995104</x:v>
      </x:c>
      <x:c r="V9" s="7" t="n">
        <x:v>199.99952</x:v>
      </x:c>
      <x:c r="W9" s="7" t="n">
        <x:v>3.635035054</x:v>
      </x:c>
      <x:c r="X9" s="7" t="n">
        <x:v>0.100340262</x:v>
      </x:c>
      <x:c r="Y9" s="7" t="n">
        <x:v>0</x:v>
      </x:c>
      <x:c r="Z9" s="2" t="n">
        <x:v>178571</x:v>
      </x:c>
      <x:c r="AA9" s="2" t="n">
        <x:v>178571</x:v>
      </x:c>
      <x:c r="AB9" s="2" t="n">
        <x:v>254999388</x:v>
      </x:c>
      <x:c r="AC9" s="2" t="n">
        <x:v>0</x:v>
      </x:c>
      <x:c r="AD9" s="2" t="str">
        <x:v>experiments/execution_131/batch_dataset.csv</x:v>
      </x:c>
    </x:row>
    <x:row r="10" ht="23" customHeight="1">
      <x:c r="A10" s="2" t="str">
        <x:v>success</x:v>
      </x:c>
      <x:c r="B10" s="2" t="n">
        <x:v>2</x:v>
      </x:c>
      <x:c r="C10" s="2" t="str">
        <x:v>fc_2000mhz_run_4</x:v>
      </x:c>
      <x:c r="D10" s="2" t="n">
        <x:v>132</x:v>
      </x:c>
      <x:c r="E10" s="2" t="str">
        <x:v>ns3</x:v>
      </x:c>
      <x:c r="F10" s="2" t="str">
        <x:v>experiments/execution_132/experiment_2/config.json</x:v>
      </x:c>
      <x:c r="G10" s="2" t="str">
        <x:v>experiments/execution_132/experiment_2/results.json</x:v>
      </x:c>
      <x:c r="H10" s="2" t="str">
        <x:v>/home/dinos/ns-allinone-3.47/ns-3.47/experiments/execution_132/experiment_2</x:v>
      </x:c>
      <x:c r="I10" s="2" t="n">
        <x:v>100</x:v>
      </x:c>
      <x:c r="J10" s="2" t="n">
        <x:v>100.3605998</x:v>
      </x:c>
      <x:c r="K10" s="2" t="n">
        <x:v>10</x:v>
      </x:c>
      <x:c r="L10" s="2" t="n">
        <x:v>200</x:v>
      </x:c>
      <x:c r="M10" s="2" t="n">
        <x:v>100000000</x:v>
      </x:c>
      <x:c r="N10" s="2" t="n">
        <x:v>2</x:v>
      </x:c>
      <x:c r="O10" s="2" t="str">
        <x:v>DL|UL|UL|UL|</x:v>
      </x:c>
      <x:c r="P10" s="2" t="n">
        <x:v>1400</x:v>
      </x:c>
      <x:c r="Q10" s="2" t="n">
        <x:v>2000000000</x:v>
      </x:c>
      <x:c r="R10" s="2" t="n">
        <x:v>1048576</x:v>
      </x:c>
      <x:c r="S10" s="2" t="n">
        <x:v>42</x:v>
      </x:c>
      <x:c r="T10" s="2" t="n">
        <x:v>4</x:v>
      </x:c>
      <x:c r="U10" s="7" t="n">
        <x:v>203.9995104</x:v>
      </x:c>
      <x:c r="V10" s="7" t="n">
        <x:v>199.99952</x:v>
      </x:c>
      <x:c r="W10" s="7" t="n">
        <x:v>3.64738158</x:v>
      </x:c>
      <x:c r="X10" s="7" t="n">
        <x:v>0.100326603</x:v>
      </x:c>
      <x:c r="Y10" s="7" t="n">
        <x:v>0</x:v>
      </x:c>
      <x:c r="Z10" s="2" t="n">
        <x:v>178571</x:v>
      </x:c>
      <x:c r="AA10" s="2" t="n">
        <x:v>178571</x:v>
      </x:c>
      <x:c r="AB10" s="2" t="n">
        <x:v>254999388</x:v>
      </x:c>
      <x:c r="AC10" s="2" t="n">
        <x:v>0</x:v>
      </x:c>
      <x:c r="AD10" s="2" t="str">
        <x:v>experiments/execution_132/batch_dataset.csv</x:v>
      </x:c>
    </x:row>
    <x:row r="11" ht="23" customHeight="1">
      <x:c r="A11" s="2" t="str">
        <x:v>success</x:v>
      </x:c>
      <x:c r="B11" s="2" t="n">
        <x:v>2</x:v>
      </x:c>
      <x:c r="C11" s="2" t="str">
        <x:v>fc_2000mhz_run_5</x:v>
      </x:c>
      <x:c r="D11" s="2" t="n">
        <x:v>133</x:v>
      </x:c>
      <x:c r="E11" s="2" t="str">
        <x:v>ns3</x:v>
      </x:c>
      <x:c r="F11" s="2" t="str">
        <x:v>experiments/execution_133/experiment_2/config.json</x:v>
      </x:c>
      <x:c r="G11" s="2" t="str">
        <x:v>experiments/execution_133/experiment_2/results.json</x:v>
      </x:c>
      <x:c r="H11" s="2" t="str">
        <x:v>/home/dinos/ns-allinone-3.47/ns-3.47/experiments/execution_133/experiment_2</x:v>
      </x:c>
      <x:c r="I11" s="2" t="n">
        <x:v>100</x:v>
      </x:c>
      <x:c r="J11" s="2" t="n">
        <x:v>100.3605998</x:v>
      </x:c>
      <x:c r="K11" s="2" t="n">
        <x:v>10</x:v>
      </x:c>
      <x:c r="L11" s="2" t="n">
        <x:v>200</x:v>
      </x:c>
      <x:c r="M11" s="2" t="n">
        <x:v>100000000</x:v>
      </x:c>
      <x:c r="N11" s="2" t="n">
        <x:v>2</x:v>
      </x:c>
      <x:c r="O11" s="2" t="str">
        <x:v>DL|UL|UL|UL|</x:v>
      </x:c>
      <x:c r="P11" s="2" t="n">
        <x:v>1400</x:v>
      </x:c>
      <x:c r="Q11" s="2" t="n">
        <x:v>2000000000</x:v>
      </x:c>
      <x:c r="R11" s="2" t="n">
        <x:v>1048576</x:v>
      </x:c>
      <x:c r="S11" s="2" t="n">
        <x:v>42</x:v>
      </x:c>
      <x:c r="T11" s="2" t="n">
        <x:v>5</x:v>
      </x:c>
      <x:c r="U11" s="7" t="n">
        <x:v>203.9995104</x:v>
      </x:c>
      <x:c r="V11" s="7" t="n">
        <x:v>199.99952</x:v>
      </x:c>
      <x:c r="W11" s="7" t="n">
        <x:v>3.649861074</x:v>
      </x:c>
      <x:c r="X11" s="7" t="n">
        <x:v>0.100318678</x:v>
      </x:c>
      <x:c r="Y11" s="7" t="n">
        <x:v>0</x:v>
      </x:c>
      <x:c r="Z11" s="2" t="n">
        <x:v>178571</x:v>
      </x:c>
      <x:c r="AA11" s="2" t="n">
        <x:v>178571</x:v>
      </x:c>
      <x:c r="AB11" s="2" t="n">
        <x:v>254999388</x:v>
      </x:c>
      <x:c r="AC11" s="2" t="n">
        <x:v>0</x:v>
      </x:c>
      <x:c r="AD11" s="2" t="str">
        <x:v>experiments/execution_133/batch_dataset.csv</x:v>
      </x:c>
    </x:row>
    <x:row r="12" ht="23" customHeight="1">
      <x:c r="A12" s="2" t="str">
        <x:v>success</x:v>
      </x:c>
      <x:c r="B12" s="2" t="n">
        <x:v>3</x:v>
      </x:c>
      <x:c r="C12" s="2" t="str">
        <x:v>fc_3500mhz_run_1</x:v>
      </x:c>
      <x:c r="D12" s="2" t="n">
        <x:v>127</x:v>
      </x:c>
      <x:c r="E12" s="2" t="str">
        <x:v>ns3</x:v>
      </x:c>
      <x:c r="F12" s="2" t="str">
        <x:v>experiments/execution_127/experiment_3/config.json</x:v>
      </x:c>
      <x:c r="G12" s="2" t="str">
        <x:v>experiments/execution_127/experiment_3/results.json</x:v>
      </x:c>
      <x:c r="H12" s="2" t="str">
        <x:v>/home/dinos/ns-allinone-3.47/ns-3.47/experiments/execution_127/experiment_3</x:v>
      </x:c>
      <x:c r="I12" s="2" t="n">
        <x:v>100</x:v>
      </x:c>
      <x:c r="J12" s="2" t="n">
        <x:v>100.3605998</x:v>
      </x:c>
      <x:c r="K12" s="2" t="n">
        <x:v>10</x:v>
      </x:c>
      <x:c r="L12" s="2" t="n">
        <x:v>200</x:v>
      </x:c>
      <x:c r="M12" s="2" t="n">
        <x:v>100000000</x:v>
      </x:c>
      <x:c r="N12" s="2" t="n">
        <x:v>2</x:v>
      </x:c>
      <x:c r="O12" s="2" t="str">
        <x:v>DL|UL|UL|UL|</x:v>
      </x:c>
      <x:c r="P12" s="2" t="n">
        <x:v>1400</x:v>
      </x:c>
      <x:c r="Q12" s="2" t="n">
        <x:v>3500000000</x:v>
      </x:c>
      <x:c r="R12" s="2" t="n">
        <x:v>1048576</x:v>
      </x:c>
      <x:c r="S12" s="2" t="n">
        <x:v>42</x:v>
      </x:c>
      <x:c r="T12" s="2" t="n">
        <x:v>1</x:v>
      </x:c>
      <x:c r="U12" s="7" t="n">
        <x:v>203.9995104</x:v>
      </x:c>
      <x:c r="V12" s="7" t="n">
        <x:v>199.99952</x:v>
      </x:c>
      <x:c r="W12" s="7" t="n">
        <x:v>3.653616326</x:v>
      </x:c>
      <x:c r="X12" s="7" t="n">
        <x:v>0.099031597</x:v>
      </x:c>
      <x:c r="Y12" s="7" t="n">
        <x:v>0</x:v>
      </x:c>
      <x:c r="Z12" s="2" t="n">
        <x:v>178571</x:v>
      </x:c>
      <x:c r="AA12" s="2" t="n">
        <x:v>178571</x:v>
      </x:c>
      <x:c r="AB12" s="2" t="n">
        <x:v>254999388</x:v>
      </x:c>
      <x:c r="AC12" s="2" t="n">
        <x:v>0</x:v>
      </x:c>
      <x:c r="AD12" s="2" t="str">
        <x:v>experiments/execution_127/batch_dataset.csv</x:v>
      </x:c>
    </x:row>
    <x:row r="13" ht="23" customHeight="1">
      <x:c r="A13" s="2" t="str">
        <x:v>success</x:v>
      </x:c>
      <x:c r="B13" s="2" t="n">
        <x:v>3</x:v>
      </x:c>
      <x:c r="C13" s="2" t="str">
        <x:v>fc_3500mhz_run_2</x:v>
      </x:c>
      <x:c r="D13" s="2" t="n">
        <x:v>130</x:v>
      </x:c>
      <x:c r="E13" s="2" t="str">
        <x:v>ns3</x:v>
      </x:c>
      <x:c r="F13" s="2" t="str">
        <x:v>experiments/execution_130/experiment_3/config.json</x:v>
      </x:c>
      <x:c r="G13" s="2" t="str">
        <x:v>experiments/execution_130/experiment_3/results.json</x:v>
      </x:c>
      <x:c r="H13" s="2" t="str">
        <x:v>/home/dinos/ns-allinone-3.47/ns-3.47/experiments/execution_130/experiment_3</x:v>
      </x:c>
      <x:c r="I13" s="2" t="n">
        <x:v>100</x:v>
      </x:c>
      <x:c r="J13" s="2" t="n">
        <x:v>100.3605998</x:v>
      </x:c>
      <x:c r="K13" s="2" t="n">
        <x:v>10</x:v>
      </x:c>
      <x:c r="L13" s="2" t="n">
        <x:v>200</x:v>
      </x:c>
      <x:c r="M13" s="2" t="n">
        <x:v>100000000</x:v>
      </x:c>
      <x:c r="N13" s="2" t="n">
        <x:v>2</x:v>
      </x:c>
      <x:c r="O13" s="2" t="str">
        <x:v>DL|UL|UL|UL|</x:v>
      </x:c>
      <x:c r="P13" s="2" t="n">
        <x:v>1400</x:v>
      </x:c>
      <x:c r="Q13" s="2" t="n">
        <x:v>3500000000</x:v>
      </x:c>
      <x:c r="R13" s="2" t="n">
        <x:v>1048576</x:v>
      </x:c>
      <x:c r="S13" s="2" t="n">
        <x:v>42</x:v>
      </x:c>
      <x:c r="T13" s="2" t="n">
        <x:v>2</x:v>
      </x:c>
      <x:c r="U13" s="7" t="n">
        <x:v>203.9995104</x:v>
      </x:c>
      <x:c r="V13" s="7" t="n">
        <x:v>199.99952</x:v>
      </x:c>
      <x:c r="W13" s="7" t="n">
        <x:v>3.651378574</x:v>
      </x:c>
      <x:c r="X13" s="7" t="n">
        <x:v>0.099051227</x:v>
      </x:c>
      <x:c r="Y13" s="7" t="n">
        <x:v>0</x:v>
      </x:c>
      <x:c r="Z13" s="2" t="n">
        <x:v>178571</x:v>
      </x:c>
      <x:c r="AA13" s="2" t="n">
        <x:v>178571</x:v>
      </x:c>
      <x:c r="AB13" s="2" t="n">
        <x:v>254999388</x:v>
      </x:c>
      <x:c r="AC13" s="2" t="n">
        <x:v>0</x:v>
      </x:c>
      <x:c r="AD13" s="2" t="str">
        <x:v>experiments/execution_130/batch_dataset.csv</x:v>
      </x:c>
    </x:row>
    <x:row r="14" ht="23" customHeight="1">
      <x:c r="A14" s="2" t="str">
        <x:v>success</x:v>
      </x:c>
      <x:c r="B14" s="2" t="n">
        <x:v>3</x:v>
      </x:c>
      <x:c r="C14" s="2" t="str">
        <x:v>fc_3500mhz_run_3</x:v>
      </x:c>
      <x:c r="D14" s="2" t="n">
        <x:v>131</x:v>
      </x:c>
      <x:c r="E14" s="2" t="str">
        <x:v>ns3</x:v>
      </x:c>
      <x:c r="F14" s="2" t="str">
        <x:v>experiments/execution_131/experiment_3/config.json</x:v>
      </x:c>
      <x:c r="G14" s="2" t="str">
        <x:v>experiments/execution_131/experiment_3/results.json</x:v>
      </x:c>
      <x:c r="H14" s="2" t="str">
        <x:v>/home/dinos/ns-allinone-3.47/ns-3.47/experiments/execution_131/experiment_3</x:v>
      </x:c>
      <x:c r="I14" s="2" t="n">
        <x:v>100</x:v>
      </x:c>
      <x:c r="J14" s="2" t="n">
        <x:v>100.3605998</x:v>
      </x:c>
      <x:c r="K14" s="2" t="n">
        <x:v>10</x:v>
      </x:c>
      <x:c r="L14" s="2" t="n">
        <x:v>200</x:v>
      </x:c>
      <x:c r="M14" s="2" t="n">
        <x:v>100000000</x:v>
      </x:c>
      <x:c r="N14" s="2" t="n">
        <x:v>2</x:v>
      </x:c>
      <x:c r="O14" s="2" t="str">
        <x:v>DL|UL|UL|UL|</x:v>
      </x:c>
      <x:c r="P14" s="2" t="n">
        <x:v>1400</x:v>
      </x:c>
      <x:c r="Q14" s="2" t="n">
        <x:v>3500000000</x:v>
      </x:c>
      <x:c r="R14" s="2" t="n">
        <x:v>1048576</x:v>
      </x:c>
      <x:c r="S14" s="2" t="n">
        <x:v>42</x:v>
      </x:c>
      <x:c r="T14" s="2" t="n">
        <x:v>3</x:v>
      </x:c>
      <x:c r="U14" s="7" t="n">
        <x:v>203.9995104</x:v>
      </x:c>
      <x:c r="V14" s="7" t="n">
        <x:v>199.99952</x:v>
      </x:c>
      <x:c r="W14" s="7" t="n">
        <x:v>3.653905933</x:v>
      </x:c>
      <x:c r="X14" s="7" t="n">
        <x:v>0.098973595</x:v>
      </x:c>
      <x:c r="Y14" s="7" t="n">
        <x:v>0</x:v>
      </x:c>
      <x:c r="Z14" s="2" t="n">
        <x:v>178571</x:v>
      </x:c>
      <x:c r="AA14" s="2" t="n">
        <x:v>178571</x:v>
      </x:c>
      <x:c r="AB14" s="2" t="n">
        <x:v>254999388</x:v>
      </x:c>
      <x:c r="AC14" s="2" t="n">
        <x:v>0</x:v>
      </x:c>
      <x:c r="AD14" s="2" t="str">
        <x:v>experiments/execution_131/batch_dataset.csv</x:v>
      </x:c>
    </x:row>
    <x:row r="15" ht="23" customHeight="1">
      <x:c r="A15" s="2" t="str">
        <x:v>success</x:v>
      </x:c>
      <x:c r="B15" s="2" t="n">
        <x:v>3</x:v>
      </x:c>
      <x:c r="C15" s="2" t="str">
        <x:v>fc_3500mhz_run_4</x:v>
      </x:c>
      <x:c r="D15" s="2" t="n">
        <x:v>132</x:v>
      </x:c>
      <x:c r="E15" s="2" t="str">
        <x:v>ns3</x:v>
      </x:c>
      <x:c r="F15" s="2" t="str">
        <x:v>experiments/execution_132/experiment_3/config.json</x:v>
      </x:c>
      <x:c r="G15" s="2" t="str">
        <x:v>experiments/execution_132/experiment_3/results.json</x:v>
      </x:c>
      <x:c r="H15" s="2" t="str">
        <x:v>/home/dinos/ns-allinone-3.47/ns-3.47/experiments/execution_132/experiment_3</x:v>
      </x:c>
      <x:c r="I15" s="2" t="n">
        <x:v>100</x:v>
      </x:c>
      <x:c r="J15" s="2" t="n">
        <x:v>100.3605998</x:v>
      </x:c>
      <x:c r="K15" s="2" t="n">
        <x:v>10</x:v>
      </x:c>
      <x:c r="L15" s="2" t="n">
        <x:v>200</x:v>
      </x:c>
      <x:c r="M15" s="2" t="n">
        <x:v>100000000</x:v>
      </x:c>
      <x:c r="N15" s="2" t="n">
        <x:v>2</x:v>
      </x:c>
      <x:c r="O15" s="2" t="str">
        <x:v>DL|UL|UL|UL|</x:v>
      </x:c>
      <x:c r="P15" s="2" t="n">
        <x:v>1400</x:v>
      </x:c>
      <x:c r="Q15" s="2" t="n">
        <x:v>3500000000</x:v>
      </x:c>
      <x:c r="R15" s="2" t="n">
        <x:v>1048576</x:v>
      </x:c>
      <x:c r="S15" s="2" t="n">
        <x:v>42</x:v>
      </x:c>
      <x:c r="T15" s="2" t="n">
        <x:v>4</x:v>
      </x:c>
      <x:c r="U15" s="7" t="n">
        <x:v>203.9995104</x:v>
      </x:c>
      <x:c r="V15" s="7" t="n">
        <x:v>199.99952</x:v>
      </x:c>
      <x:c r="W15" s="7" t="n">
        <x:v>3.650904051</x:v>
      </x:c>
      <x:c r="X15" s="7" t="n">
        <x:v>0.099049933</x:v>
      </x:c>
      <x:c r="Y15" s="7" t="n">
        <x:v>0</x:v>
      </x:c>
      <x:c r="Z15" s="2" t="n">
        <x:v>178571</x:v>
      </x:c>
      <x:c r="AA15" s="2" t="n">
        <x:v>178571</x:v>
      </x:c>
      <x:c r="AB15" s="2" t="n">
        <x:v>254999388</x:v>
      </x:c>
      <x:c r="AC15" s="2" t="n">
        <x:v>0</x:v>
      </x:c>
      <x:c r="AD15" s="2" t="str">
        <x:v>experiments/execution_132/batch_dataset.csv</x:v>
      </x:c>
    </x:row>
    <x:row r="16" ht="23" customHeight="1">
      <x:c r="A16" s="2" t="str">
        <x:v>success</x:v>
      </x:c>
      <x:c r="B16" s="2" t="n">
        <x:v>3</x:v>
      </x:c>
      <x:c r="C16" s="2" t="str">
        <x:v>fc_3500mhz_run_5</x:v>
      </x:c>
      <x:c r="D16" s="2" t="n">
        <x:v>133</x:v>
      </x:c>
      <x:c r="E16" s="2" t="str">
        <x:v>ns3</x:v>
      </x:c>
      <x:c r="F16" s="2" t="str">
        <x:v>experiments/execution_133/experiment_3/config.json</x:v>
      </x:c>
      <x:c r="G16" s="2" t="str">
        <x:v>experiments/execution_133/experiment_3/results.json</x:v>
      </x:c>
      <x:c r="H16" s="2" t="str">
        <x:v>/home/dinos/ns-allinone-3.47/ns-3.47/experiments/execution_133/experiment_3</x:v>
      </x:c>
      <x:c r="I16" s="2" t="n">
        <x:v>100</x:v>
      </x:c>
      <x:c r="J16" s="2" t="n">
        <x:v>100.3605998</x:v>
      </x:c>
      <x:c r="K16" s="2" t="n">
        <x:v>10</x:v>
      </x:c>
      <x:c r="L16" s="2" t="n">
        <x:v>200</x:v>
      </x:c>
      <x:c r="M16" s="2" t="n">
        <x:v>100000000</x:v>
      </x:c>
      <x:c r="N16" s="2" t="n">
        <x:v>2</x:v>
      </x:c>
      <x:c r="O16" s="2" t="str">
        <x:v>DL|UL|UL|UL|</x:v>
      </x:c>
      <x:c r="P16" s="2" t="n">
        <x:v>1400</x:v>
      </x:c>
      <x:c r="Q16" s="2" t="n">
        <x:v>3500000000</x:v>
      </x:c>
      <x:c r="R16" s="2" t="n">
        <x:v>1048576</x:v>
      </x:c>
      <x:c r="S16" s="2" t="n">
        <x:v>42</x:v>
      </x:c>
      <x:c r="T16" s="2" t="n">
        <x:v>5</x:v>
      </x:c>
      <x:c r="U16" s="7" t="n">
        <x:v>203.9995104</x:v>
      </x:c>
      <x:c r="V16" s="7" t="n">
        <x:v>199.99952</x:v>
      </x:c>
      <x:c r="W16" s="7" t="n">
        <x:v>3.644096886</x:v>
      </x:c>
      <x:c r="X16" s="7" t="n">
        <x:v>0.09911271</x:v>
      </x:c>
      <x:c r="Y16" s="7" t="n">
        <x:v>0</x:v>
      </x:c>
      <x:c r="Z16" s="2" t="n">
        <x:v>178571</x:v>
      </x:c>
      <x:c r="AA16" s="2" t="n">
        <x:v>178571</x:v>
      </x:c>
      <x:c r="AB16" s="2" t="n">
        <x:v>254999388</x:v>
      </x:c>
      <x:c r="AC16" s="2" t="n">
        <x:v>0</x:v>
      </x:c>
      <x:c r="AD16" s="2" t="str">
        <x:v>experiments/execution_133/batch_dataset.csv</x:v>
      </x:c>
    </x:row>
    <x:row r="17" ht="23" customHeight="1">
      <x:c r="A17" s="2" t="str">
        <x:v>success</x:v>
      </x:c>
      <x:c r="B17" s="2" t="n">
        <x:v>4</x:v>
      </x:c>
      <x:c r="C17" s="2" t="str">
        <x:v>fc_5000mhz_run_1</x:v>
      </x:c>
      <x:c r="D17" s="2" t="n">
        <x:v>127</x:v>
      </x:c>
      <x:c r="E17" s="2" t="str">
        <x:v>ns3</x:v>
      </x:c>
      <x:c r="F17" s="2" t="str">
        <x:v>experiments/execution_127/experiment_4/config.json</x:v>
      </x:c>
      <x:c r="G17" s="2" t="str">
        <x:v>experiments/execution_127/experiment_4/results.json</x:v>
      </x:c>
      <x:c r="H17" s="2" t="str">
        <x:v>/home/dinos/ns-allinone-3.47/ns-3.47/experiments/execution_127/experiment_4</x:v>
      </x:c>
      <x:c r="I17" s="2" t="n">
        <x:v>100</x:v>
      </x:c>
      <x:c r="J17" s="2" t="n">
        <x:v>100.3605998</x:v>
      </x:c>
      <x:c r="K17" s="2" t="n">
        <x:v>10</x:v>
      </x:c>
      <x:c r="L17" s="2" t="n">
        <x:v>200</x:v>
      </x:c>
      <x:c r="M17" s="2" t="n">
        <x:v>100000000</x:v>
      </x:c>
      <x:c r="N17" s="2" t="n">
        <x:v>2</x:v>
      </x:c>
      <x:c r="O17" s="2" t="str">
        <x:v>DL|UL|UL|UL|</x:v>
      </x:c>
      <x:c r="P17" s="2" t="n">
        <x:v>1400</x:v>
      </x:c>
      <x:c r="Q17" s="2" t="n">
        <x:v>5000000000</x:v>
      </x:c>
      <x:c r="R17" s="2" t="n">
        <x:v>1048576</x:v>
      </x:c>
      <x:c r="S17" s="2" t="n">
        <x:v>42</x:v>
      </x:c>
      <x:c r="T17" s="2" t="n">
        <x:v>1</x:v>
      </x:c>
      <x:c r="U17" s="7" t="n">
        <x:v>185.2824288</x:v>
      </x:c>
      <x:c r="V17" s="7" t="n">
        <x:v>181.64944</x:v>
      </x:c>
      <x:c r="W17" s="7" t="n">
        <x:v>46.4224025</x:v>
      </x:c>
      <x:c r="X17" s="7" t="n">
        <x:v>0.108819594</x:v>
      </x:c>
      <x:c r="Y17" s="7" t="n">
        <x:v>0.09175062</x:v>
      </x:c>
      <x:c r="Z17" s="2" t="n">
        <x:v>178571</x:v>
      </x:c>
      <x:c r="AA17" s="2" t="n">
        <x:v>162187</x:v>
      </x:c>
      <x:c r="AB17" s="2" t="n">
        <x:v>231603036</x:v>
      </x:c>
      <x:c r="AC17" s="2" t="n">
        <x:v>16384</x:v>
      </x:c>
      <x:c r="AD17" s="2" t="str">
        <x:v>experiments/execution_127/batch_dataset.csv</x:v>
      </x:c>
    </x:row>
    <x:row r="18" ht="23" customHeight="1">
      <x:c r="A18" s="2" t="str">
        <x:v>success</x:v>
      </x:c>
      <x:c r="B18" s="2" t="n">
        <x:v>4</x:v>
      </x:c>
      <x:c r="C18" s="2" t="str">
        <x:v>fc_5000mhz_run_2</x:v>
      </x:c>
      <x:c r="D18" s="2" t="n">
        <x:v>130</x:v>
      </x:c>
      <x:c r="E18" s="2" t="str">
        <x:v>ns3</x:v>
      </x:c>
      <x:c r="F18" s="2" t="str">
        <x:v>experiments/execution_130/experiment_4/config.json</x:v>
      </x:c>
      <x:c r="G18" s="2" t="str">
        <x:v>experiments/execution_130/experiment_4/results.json</x:v>
      </x:c>
      <x:c r="H18" s="2" t="str">
        <x:v>/home/dinos/ns-allinone-3.47/ns-3.47/experiments/execution_130/experiment_4</x:v>
      </x:c>
      <x:c r="I18" s="2" t="n">
        <x:v>100</x:v>
      </x:c>
      <x:c r="J18" s="2" t="n">
        <x:v>100.3605998</x:v>
      </x:c>
      <x:c r="K18" s="2" t="n">
        <x:v>10</x:v>
      </x:c>
      <x:c r="L18" s="2" t="n">
        <x:v>200</x:v>
      </x:c>
      <x:c r="M18" s="2" t="n">
        <x:v>100000000</x:v>
      </x:c>
      <x:c r="N18" s="2" t="n">
        <x:v>2</x:v>
      </x:c>
      <x:c r="O18" s="2" t="str">
        <x:v>DL|UL|UL|UL|</x:v>
      </x:c>
      <x:c r="P18" s="2" t="n">
        <x:v>1400</x:v>
      </x:c>
      <x:c r="Q18" s="2" t="n">
        <x:v>5000000000</x:v>
      </x:c>
      <x:c r="R18" s="2" t="n">
        <x:v>1048576</x:v>
      </x:c>
      <x:c r="S18" s="2" t="n">
        <x:v>42</x:v>
      </x:c>
      <x:c r="T18" s="2" t="n">
        <x:v>2</x:v>
      </x:c>
      <x:c r="U18" s="7" t="n">
        <x:v>185.2824288</x:v>
      </x:c>
      <x:c r="V18" s="7" t="n">
        <x:v>181.64944</x:v>
      </x:c>
      <x:c r="W18" s="7" t="n">
        <x:v>46.42842193</x:v>
      </x:c>
      <x:c r="X18" s="7" t="n">
        <x:v>0.108869515</x:v>
      </x:c>
      <x:c r="Y18" s="7" t="n">
        <x:v>0.09175062</x:v>
      </x:c>
      <x:c r="Z18" s="2" t="n">
        <x:v>178571</x:v>
      </x:c>
      <x:c r="AA18" s="2" t="n">
        <x:v>162187</x:v>
      </x:c>
      <x:c r="AB18" s="2" t="n">
        <x:v>231603036</x:v>
      </x:c>
      <x:c r="AC18" s="2" t="n">
        <x:v>16384</x:v>
      </x:c>
      <x:c r="AD18" s="2" t="str">
        <x:v>experiments/execution_130/batch_dataset.csv</x:v>
      </x:c>
    </x:row>
    <x:row r="19" ht="23" customHeight="1">
      <x:c r="A19" s="2" t="str">
        <x:v>success</x:v>
      </x:c>
      <x:c r="B19" s="2" t="n">
        <x:v>4</x:v>
      </x:c>
      <x:c r="C19" s="2" t="str">
        <x:v>fc_5000mhz_run_3</x:v>
      </x:c>
      <x:c r="D19" s="2" t="n">
        <x:v>131</x:v>
      </x:c>
      <x:c r="E19" s="2" t="str">
        <x:v>ns3</x:v>
      </x:c>
      <x:c r="F19" s="2" t="str">
        <x:v>experiments/execution_131/experiment_4/config.json</x:v>
      </x:c>
      <x:c r="G19" s="2" t="str">
        <x:v>experiments/execution_131/experiment_4/results.json</x:v>
      </x:c>
      <x:c r="H19" s="2" t="str">
        <x:v>/home/dinos/ns-allinone-3.47/ns-3.47/experiments/execution_131/experiment_4</x:v>
      </x:c>
      <x:c r="I19" s="2" t="n">
        <x:v>100</x:v>
      </x:c>
      <x:c r="J19" s="2" t="n">
        <x:v>100.3605998</x:v>
      </x:c>
      <x:c r="K19" s="2" t="n">
        <x:v>10</x:v>
      </x:c>
      <x:c r="L19" s="2" t="n">
        <x:v>200</x:v>
      </x:c>
      <x:c r="M19" s="2" t="n">
        <x:v>100000000</x:v>
      </x:c>
      <x:c r="N19" s="2" t="n">
        <x:v>2</x:v>
      </x:c>
      <x:c r="O19" s="2" t="str">
        <x:v>DL|UL|UL|UL|</x:v>
      </x:c>
      <x:c r="P19" s="2" t="n">
        <x:v>1400</x:v>
      </x:c>
      <x:c r="Q19" s="2" t="n">
        <x:v>5000000000</x:v>
      </x:c>
      <x:c r="R19" s="2" t="n">
        <x:v>1048576</x:v>
      </x:c>
      <x:c r="S19" s="2" t="n">
        <x:v>42</x:v>
      </x:c>
      <x:c r="T19" s="2" t="n">
        <x:v>3</x:v>
      </x:c>
      <x:c r="U19" s="7" t="n">
        <x:v>185.2824288</x:v>
      </x:c>
      <x:c r="V19" s="7" t="n">
        <x:v>181.64944</x:v>
      </x:c>
      <x:c r="W19" s="7" t="n">
        <x:v>46.4164444</x:v>
      </x:c>
      <x:c r="X19" s="7" t="n">
        <x:v>0.108793148</x:v>
      </x:c>
      <x:c r="Y19" s="7" t="n">
        <x:v>0.09175062</x:v>
      </x:c>
      <x:c r="Z19" s="2" t="n">
        <x:v>178571</x:v>
      </x:c>
      <x:c r="AA19" s="2" t="n">
        <x:v>162187</x:v>
      </x:c>
      <x:c r="AB19" s="2" t="n">
        <x:v>231603036</x:v>
      </x:c>
      <x:c r="AC19" s="2" t="n">
        <x:v>16384</x:v>
      </x:c>
      <x:c r="AD19" s="2" t="str">
        <x:v>experiments/execution_131/batch_dataset.csv</x:v>
      </x:c>
    </x:row>
    <x:row r="20" ht="23" customHeight="1">
      <x:c r="A20" s="2" t="str">
        <x:v>success</x:v>
      </x:c>
      <x:c r="B20" s="2" t="n">
        <x:v>4</x:v>
      </x:c>
      <x:c r="C20" s="2" t="str">
        <x:v>fc_5000mhz_run_4</x:v>
      </x:c>
      <x:c r="D20" s="2" t="n">
        <x:v>132</x:v>
      </x:c>
      <x:c r="E20" s="2" t="str">
        <x:v>ns3</x:v>
      </x:c>
      <x:c r="F20" s="2" t="str">
        <x:v>experiments/execution_132/experiment_4/config.json</x:v>
      </x:c>
      <x:c r="G20" s="2" t="str">
        <x:v>experiments/execution_132/experiment_4/results.json</x:v>
      </x:c>
      <x:c r="H20" s="2" t="str">
        <x:v>/home/dinos/ns-allinone-3.47/ns-3.47/experiments/execution_132/experiment_4</x:v>
      </x:c>
      <x:c r="I20" s="2" t="n">
        <x:v>100</x:v>
      </x:c>
      <x:c r="J20" s="2" t="n">
        <x:v>100.3605998</x:v>
      </x:c>
      <x:c r="K20" s="2" t="n">
        <x:v>10</x:v>
      </x:c>
      <x:c r="L20" s="2" t="n">
        <x:v>200</x:v>
      </x:c>
      <x:c r="M20" s="2" t="n">
        <x:v>100000000</x:v>
      </x:c>
      <x:c r="N20" s="2" t="n">
        <x:v>2</x:v>
      </x:c>
      <x:c r="O20" s="2" t="str">
        <x:v>DL|UL|UL|UL|</x:v>
      </x:c>
      <x:c r="P20" s="2" t="n">
        <x:v>1400</x:v>
      </x:c>
      <x:c r="Q20" s="2" t="n">
        <x:v>5000000000</x:v>
      </x:c>
      <x:c r="R20" s="2" t="n">
        <x:v>1048576</x:v>
      </x:c>
      <x:c r="S20" s="2" t="n">
        <x:v>42</x:v>
      </x:c>
      <x:c r="T20" s="2" t="n">
        <x:v>4</x:v>
      </x:c>
      <x:c r="U20" s="7" t="n">
        <x:v>185.2824288</x:v>
      </x:c>
      <x:c r="V20" s="7" t="n">
        <x:v>181.64944</x:v>
      </x:c>
      <x:c r="W20" s="7" t="n">
        <x:v>46.42980076</x:v>
      </x:c>
      <x:c r="X20" s="7" t="n">
        <x:v>0.108858283</x:v>
      </x:c>
      <x:c r="Y20" s="7" t="n">
        <x:v>0.09175062</x:v>
      </x:c>
      <x:c r="Z20" s="2" t="n">
        <x:v>178571</x:v>
      </x:c>
      <x:c r="AA20" s="2" t="n">
        <x:v>162187</x:v>
      </x:c>
      <x:c r="AB20" s="2" t="n">
        <x:v>231603036</x:v>
      </x:c>
      <x:c r="AC20" s="2" t="n">
        <x:v>16384</x:v>
      </x:c>
      <x:c r="AD20" s="2" t="str">
        <x:v>experiments/execution_132/batch_dataset.csv</x:v>
      </x:c>
    </x:row>
    <x:row r="21" ht="23" customHeight="1">
      <x:c r="A21" s="2" t="str">
        <x:v>success</x:v>
      </x:c>
      <x:c r="B21" s="2" t="n">
        <x:v>4</x:v>
      </x:c>
      <x:c r="C21" s="2" t="str">
        <x:v>fc_5000mhz_run_5</x:v>
      </x:c>
      <x:c r="D21" s="2" t="n">
        <x:v>133</x:v>
      </x:c>
      <x:c r="E21" s="2" t="str">
        <x:v>ns3</x:v>
      </x:c>
      <x:c r="F21" s="2" t="str">
        <x:v>experiments/execution_133/experiment_4/config.json</x:v>
      </x:c>
      <x:c r="G21" s="2" t="str">
        <x:v>experiments/execution_133/experiment_4/results.json</x:v>
      </x:c>
      <x:c r="H21" s="2" t="str">
        <x:v>/home/dinos/ns-allinone-3.47/ns-3.47/experiments/execution_133/experiment_4</x:v>
      </x:c>
      <x:c r="I21" s="2" t="n">
        <x:v>100</x:v>
      </x:c>
      <x:c r="J21" s="2" t="n">
        <x:v>100.3605998</x:v>
      </x:c>
      <x:c r="K21" s="2" t="n">
        <x:v>10</x:v>
      </x:c>
      <x:c r="L21" s="2" t="n">
        <x:v>200</x:v>
      </x:c>
      <x:c r="M21" s="2" t="n">
        <x:v>100000000</x:v>
      </x:c>
      <x:c r="N21" s="2" t="n">
        <x:v>2</x:v>
      </x:c>
      <x:c r="O21" s="2" t="str">
        <x:v>DL|UL|UL|UL|</x:v>
      </x:c>
      <x:c r="P21" s="2" t="n">
        <x:v>1400</x:v>
      </x:c>
      <x:c r="Q21" s="2" t="n">
        <x:v>5000000000</x:v>
      </x:c>
      <x:c r="R21" s="2" t="n">
        <x:v>1048576</x:v>
      </x:c>
      <x:c r="S21" s="2" t="n">
        <x:v>42</x:v>
      </x:c>
      <x:c r="T21" s="2" t="n">
        <x:v>5</x:v>
      </x:c>
      <x:c r="U21" s="7" t="n">
        <x:v>185.2824288</x:v>
      </x:c>
      <x:c r="V21" s="7" t="n">
        <x:v>181.64944</x:v>
      </x:c>
      <x:c r="W21" s="7" t="n">
        <x:v>46.42347844</x:v>
      </x:c>
      <x:c r="X21" s="7" t="n">
        <x:v>0.108833376</x:v>
      </x:c>
      <x:c r="Y21" s="7" t="n">
        <x:v>0.09175062</x:v>
      </x:c>
      <x:c r="Z21" s="2" t="n">
        <x:v>178571</x:v>
      </x:c>
      <x:c r="AA21" s="2" t="n">
        <x:v>162187</x:v>
      </x:c>
      <x:c r="AB21" s="2" t="n">
        <x:v>231603036</x:v>
      </x:c>
      <x:c r="AC21" s="2" t="n">
        <x:v>16384</x:v>
      </x:c>
      <x:c r="AD21" s="2" t="str">
        <x:v>experiments/execution_133/batch_dataset.csv</x:v>
      </x:c>
    </x:row>
    <x:row r="22" ht="23" customHeight="1">
      <x:c r="A22" s="2" t="str">
        <x:v>success</x:v>
      </x:c>
      <x:c r="B22" s="2" t="n">
        <x:v>5</x:v>
      </x:c>
      <x:c r="C22" s="2" t="str">
        <x:v>fc_7000mhz_run_1</x:v>
      </x:c>
      <x:c r="D22" s="2" t="n">
        <x:v>127</x:v>
      </x:c>
      <x:c r="E22" s="2" t="str">
        <x:v>ns3</x:v>
      </x:c>
      <x:c r="F22" s="2" t="str">
        <x:v>experiments/execution_127/experiment_5/config.json</x:v>
      </x:c>
      <x:c r="G22" s="2" t="str">
        <x:v>experiments/execution_127/experiment_5/results.json</x:v>
      </x:c>
      <x:c r="H22" s="2" t="str">
        <x:v>/home/dinos/ns-allinone-3.47/ns-3.47/experiments/execution_127/experiment_5</x:v>
      </x:c>
      <x:c r="I22" s="2" t="n">
        <x:v>100</x:v>
      </x:c>
      <x:c r="J22" s="2" t="n">
        <x:v>100.3605998</x:v>
      </x:c>
      <x:c r="K22" s="2" t="n">
        <x:v>10</x:v>
      </x:c>
      <x:c r="L22" s="2" t="n">
        <x:v>200</x:v>
      </x:c>
      <x:c r="M22" s="2" t="n">
        <x:v>100000000</x:v>
      </x:c>
      <x:c r="N22" s="2" t="n">
        <x:v>2</x:v>
      </x:c>
      <x:c r="O22" s="2" t="str">
        <x:v>DL|UL|UL|UL|</x:v>
      </x:c>
      <x:c r="P22" s="2" t="n">
        <x:v>1400</x:v>
      </x:c>
      <x:c r="Q22" s="2" t="n">
        <x:v>7000000000</x:v>
      </x:c>
      <x:c r="R22" s="2" t="n">
        <x:v>1048576</x:v>
      </x:c>
      <x:c r="S22" s="2" t="n">
        <x:v>42</x:v>
      </x:c>
      <x:c r="T22" s="2" t="n">
        <x:v>1</x:v>
      </x:c>
      <x:c r="U22" s="7" t="n">
        <x:v>134.9277216</x:v>
      </x:c>
      <x:c r="V22" s="7" t="n">
        <x:v>132.28208</x:v>
      </x:c>
      <x:c r="W22" s="7" t="n">
        <x:v>63.99118377</x:v>
      </x:c>
      <x:c r="X22" s="7" t="n">
        <x:v>0.128212214</x:v>
      </x:c>
      <x:c r="Y22" s="7" t="n">
        <x:v>0.338588013</x:v>
      </x:c>
      <x:c r="Z22" s="2" t="n">
        <x:v>178571</x:v>
      </x:c>
      <x:c r="AA22" s="2" t="n">
        <x:v>118109</x:v>
      </x:c>
      <x:c r="AB22" s="2" t="n">
        <x:v>168659652</x:v>
      </x:c>
      <x:c r="AC22" s="2" t="n">
        <x:v>60462</x:v>
      </x:c>
      <x:c r="AD22" s="2" t="str">
        <x:v>experiments/execution_127/batch_dataset.csv</x:v>
      </x:c>
    </x:row>
    <x:row r="23" ht="23" customHeight="1">
      <x:c r="A23" s="2" t="str">
        <x:v>success</x:v>
      </x:c>
      <x:c r="B23" s="2" t="n">
        <x:v>5</x:v>
      </x:c>
      <x:c r="C23" s="2" t="str">
        <x:v>fc_7000mhz_run_2</x:v>
      </x:c>
      <x:c r="D23" s="2" t="n">
        <x:v>130</x:v>
      </x:c>
      <x:c r="E23" s="2" t="str">
        <x:v>ns3</x:v>
      </x:c>
      <x:c r="F23" s="2" t="str">
        <x:v>experiments/execution_130/experiment_5/config.json</x:v>
      </x:c>
      <x:c r="G23" s="2" t="str">
        <x:v>experiments/execution_130/experiment_5/results.json</x:v>
      </x:c>
      <x:c r="H23" s="2" t="str">
        <x:v>/home/dinos/ns-allinone-3.47/ns-3.47/experiments/execution_130/experiment_5</x:v>
      </x:c>
      <x:c r="I23" s="2" t="n">
        <x:v>100</x:v>
      </x:c>
      <x:c r="J23" s="2" t="n">
        <x:v>100.3605998</x:v>
      </x:c>
      <x:c r="K23" s="2" t="n">
        <x:v>10</x:v>
      </x:c>
      <x:c r="L23" s="2" t="n">
        <x:v>200</x:v>
      </x:c>
      <x:c r="M23" s="2" t="n">
        <x:v>100000000</x:v>
      </x:c>
      <x:c r="N23" s="2" t="n">
        <x:v>2</x:v>
      </x:c>
      <x:c r="O23" s="2" t="str">
        <x:v>DL|UL|UL|UL|</x:v>
      </x:c>
      <x:c r="P23" s="2" t="n">
        <x:v>1400</x:v>
      </x:c>
      <x:c r="Q23" s="2" t="n">
        <x:v>7000000000</x:v>
      </x:c>
      <x:c r="R23" s="2" t="n">
        <x:v>1048576</x:v>
      </x:c>
      <x:c r="S23" s="2" t="n">
        <x:v>42</x:v>
      </x:c>
      <x:c r="T23" s="2" t="n">
        <x:v>2</x:v>
      </x:c>
      <x:c r="U23" s="7" t="n">
        <x:v>134.9277216</x:v>
      </x:c>
      <x:c r="V23" s="7" t="n">
        <x:v>132.28208</x:v>
      </x:c>
      <x:c r="W23" s="7" t="n">
        <x:v>63.99105628</x:v>
      </x:c>
      <x:c r="X23" s="7" t="n">
        <x:v>0.128212054</x:v>
      </x:c>
      <x:c r="Y23" s="7" t="n">
        <x:v>0.338588013</x:v>
      </x:c>
      <x:c r="Z23" s="2" t="n">
        <x:v>178571</x:v>
      </x:c>
      <x:c r="AA23" s="2" t="n">
        <x:v>118109</x:v>
      </x:c>
      <x:c r="AB23" s="2" t="n">
        <x:v>168659652</x:v>
      </x:c>
      <x:c r="AC23" s="2" t="n">
        <x:v>60462</x:v>
      </x:c>
      <x:c r="AD23" s="2" t="str">
        <x:v>experiments/execution_130/batch_dataset.csv</x:v>
      </x:c>
    </x:row>
    <x:row r="24" ht="23" customHeight="1">
      <x:c r="A24" s="2" t="str">
        <x:v>success</x:v>
      </x:c>
      <x:c r="B24" s="2" t="n">
        <x:v>5</x:v>
      </x:c>
      <x:c r="C24" s="2" t="str">
        <x:v>fc_7000mhz_run_3</x:v>
      </x:c>
      <x:c r="D24" s="2" t="n">
        <x:v>131</x:v>
      </x:c>
      <x:c r="E24" s="2" t="str">
        <x:v>ns3</x:v>
      </x:c>
      <x:c r="F24" s="2" t="str">
        <x:v>experiments/execution_131/experiment_5/config.json</x:v>
      </x:c>
      <x:c r="G24" s="2" t="str">
        <x:v>experiments/execution_131/experiment_5/results.json</x:v>
      </x:c>
      <x:c r="H24" s="2" t="str">
        <x:v>/home/dinos/ns-allinone-3.47/ns-3.47/experiments/execution_131/experiment_5</x:v>
      </x:c>
      <x:c r="I24" s="2" t="n">
        <x:v>100</x:v>
      </x:c>
      <x:c r="J24" s="2" t="n">
        <x:v>100.3605998</x:v>
      </x:c>
      <x:c r="K24" s="2" t="n">
        <x:v>10</x:v>
      </x:c>
      <x:c r="L24" s="2" t="n">
        <x:v>200</x:v>
      </x:c>
      <x:c r="M24" s="2" t="n">
        <x:v>100000000</x:v>
      </x:c>
      <x:c r="N24" s="2" t="n">
        <x:v>2</x:v>
      </x:c>
      <x:c r="O24" s="2" t="str">
        <x:v>DL|UL|UL|UL|</x:v>
      </x:c>
      <x:c r="P24" s="2" t="n">
        <x:v>1400</x:v>
      </x:c>
      <x:c r="Q24" s="2" t="n">
        <x:v>7000000000</x:v>
      </x:c>
      <x:c r="R24" s="2" t="n">
        <x:v>1048576</x:v>
      </x:c>
      <x:c r="S24" s="2" t="n">
        <x:v>42</x:v>
      </x:c>
      <x:c r="T24" s="2" t="n">
        <x:v>3</x:v>
      </x:c>
      <x:c r="U24" s="7" t="n">
        <x:v>134.9277216</x:v>
      </x:c>
      <x:c r="V24" s="7" t="n">
        <x:v>132.28208</x:v>
      </x:c>
      <x:c r="W24" s="7" t="n">
        <x:v>63.99003049</x:v>
      </x:c>
      <x:c r="X24" s="7" t="n">
        <x:v>0.128118551</x:v>
      </x:c>
      <x:c r="Y24" s="7" t="n">
        <x:v>0.338588013</x:v>
      </x:c>
      <x:c r="Z24" s="2" t="n">
        <x:v>178571</x:v>
      </x:c>
      <x:c r="AA24" s="2" t="n">
        <x:v>118109</x:v>
      </x:c>
      <x:c r="AB24" s="2" t="n">
        <x:v>168659652</x:v>
      </x:c>
      <x:c r="AC24" s="2" t="n">
        <x:v>60462</x:v>
      </x:c>
      <x:c r="AD24" s="2" t="str">
        <x:v>experiments/execution_131/batch_dataset.csv</x:v>
      </x:c>
    </x:row>
    <x:row r="25" ht="23" customHeight="1">
      <x:c r="A25" s="2" t="str">
        <x:v>success</x:v>
      </x:c>
      <x:c r="B25" s="2" t="n">
        <x:v>5</x:v>
      </x:c>
      <x:c r="C25" s="2" t="str">
        <x:v>fc_7000mhz_run_4</x:v>
      </x:c>
      <x:c r="D25" s="2" t="n">
        <x:v>132</x:v>
      </x:c>
      <x:c r="E25" s="2" t="str">
        <x:v>ns3</x:v>
      </x:c>
      <x:c r="F25" s="2" t="str">
        <x:v>experiments/execution_132/experiment_5/config.json</x:v>
      </x:c>
      <x:c r="G25" s="2" t="str">
        <x:v>experiments/execution_132/experiment_5/results.json</x:v>
      </x:c>
      <x:c r="H25" s="2" t="str">
        <x:v>/home/dinos/ns-allinone-3.47/ns-3.47/experiments/execution_132/experiment_5</x:v>
      </x:c>
      <x:c r="I25" s="2" t="n">
        <x:v>100</x:v>
      </x:c>
      <x:c r="J25" s="2" t="n">
        <x:v>100.3605998</x:v>
      </x:c>
      <x:c r="K25" s="2" t="n">
        <x:v>10</x:v>
      </x:c>
      <x:c r="L25" s="2" t="n">
        <x:v>200</x:v>
      </x:c>
      <x:c r="M25" s="2" t="n">
        <x:v>100000000</x:v>
      </x:c>
      <x:c r="N25" s="2" t="n">
        <x:v>2</x:v>
      </x:c>
      <x:c r="O25" s="2" t="str">
        <x:v>DL|UL|UL|UL|</x:v>
      </x:c>
      <x:c r="P25" s="2" t="n">
        <x:v>1400</x:v>
      </x:c>
      <x:c r="Q25" s="2" t="n">
        <x:v>7000000000</x:v>
      </x:c>
      <x:c r="R25" s="2" t="n">
        <x:v>1048576</x:v>
      </x:c>
      <x:c r="S25" s="2" t="n">
        <x:v>42</x:v>
      </x:c>
      <x:c r="T25" s="2" t="n">
        <x:v>4</x:v>
      </x:c>
      <x:c r="U25" s="7" t="n">
        <x:v>134.9277216</x:v>
      </x:c>
      <x:c r="V25" s="7" t="n">
        <x:v>132.28208</x:v>
      </x:c>
      <x:c r="W25" s="7" t="n">
        <x:v>63.99458273</x:v>
      </x:c>
      <x:c r="X25" s="7" t="n">
        <x:v>0.127916921</x:v>
      </x:c>
      <x:c r="Y25" s="7" t="n">
        <x:v>0.338588013</x:v>
      </x:c>
      <x:c r="Z25" s="2" t="n">
        <x:v>178571</x:v>
      </x:c>
      <x:c r="AA25" s="2" t="n">
        <x:v>118109</x:v>
      </x:c>
      <x:c r="AB25" s="2" t="n">
        <x:v>168659652</x:v>
      </x:c>
      <x:c r="AC25" s="2" t="n">
        <x:v>60462</x:v>
      </x:c>
      <x:c r="AD25" s="2" t="str">
        <x:v>experiments/execution_132/batch_dataset.csv</x:v>
      </x:c>
    </x:row>
    <x:row r="26" ht="23" customHeight="1">
      <x:c r="A26" s="2" t="str">
        <x:v>success</x:v>
      </x:c>
      <x:c r="B26" s="2" t="n">
        <x:v>5</x:v>
      </x:c>
      <x:c r="C26" s="2" t="str">
        <x:v>fc_7000mhz_run_5</x:v>
      </x:c>
      <x:c r="D26" s="2" t="n">
        <x:v>133</x:v>
      </x:c>
      <x:c r="E26" s="2" t="str">
        <x:v>ns3</x:v>
      </x:c>
      <x:c r="F26" s="2" t="str">
        <x:v>experiments/execution_133/experiment_5/config.json</x:v>
      </x:c>
      <x:c r="G26" s="2" t="str">
        <x:v>experiments/execution_133/experiment_5/results.json</x:v>
      </x:c>
      <x:c r="H26" s="2" t="str">
        <x:v>/home/dinos/ns-allinone-3.47/ns-3.47/experiments/execution_133/experiment_5</x:v>
      </x:c>
      <x:c r="I26" s="2" t="n">
        <x:v>100</x:v>
      </x:c>
      <x:c r="J26" s="2" t="n">
        <x:v>100.3605998</x:v>
      </x:c>
      <x:c r="K26" s="2" t="n">
        <x:v>10</x:v>
      </x:c>
      <x:c r="L26" s="2" t="n">
        <x:v>200</x:v>
      </x:c>
      <x:c r="M26" s="2" t="n">
        <x:v>100000000</x:v>
      </x:c>
      <x:c r="N26" s="2" t="n">
        <x:v>2</x:v>
      </x:c>
      <x:c r="O26" s="2" t="str">
        <x:v>DL|UL|UL|UL|</x:v>
      </x:c>
      <x:c r="P26" s="2" t="n">
        <x:v>1400</x:v>
      </x:c>
      <x:c r="Q26" s="2" t="n">
        <x:v>7000000000</x:v>
      </x:c>
      <x:c r="R26" s="2" t="n">
        <x:v>1048576</x:v>
      </x:c>
      <x:c r="S26" s="2" t="n">
        <x:v>42</x:v>
      </x:c>
      <x:c r="T26" s="2" t="n">
        <x:v>5</x:v>
      </x:c>
      <x:c r="U26" s="7" t="n">
        <x:v>134.9277216</x:v>
      </x:c>
      <x:c r="V26" s="7" t="n">
        <x:v>132.28208</x:v>
      </x:c>
      <x:c r="W26" s="7" t="n">
        <x:v>63.99080185</x:v>
      </x:c>
      <x:c r="X26" s="7" t="n">
        <x:v>0.127925295</x:v>
      </x:c>
      <x:c r="Y26" s="7" t="n">
        <x:v>0.338588013</x:v>
      </x:c>
      <x:c r="Z26" s="2" t="n">
        <x:v>178571</x:v>
      </x:c>
      <x:c r="AA26" s="2" t="n">
        <x:v>118109</x:v>
      </x:c>
      <x:c r="AB26" s="2" t="n">
        <x:v>168659652</x:v>
      </x:c>
      <x:c r="AC26" s="2" t="n">
        <x:v>60462</x:v>
      </x:c>
      <x:c r="AD26" s="2" t="str">
        <x:v>experiments/execution_133/batch_dataset.csv</x:v>
      </x:c>
    </x:row>
  </x:sheetData>
  <x:pageMargins left="0.7" right="0.7" top="0.75" bottom="0.75" header="0.3" footer="0.3"/>
  <x:tableParts count="1">
    <x:tablePart xmlns:r="http://schemas.openxmlformats.org/officeDocument/2006/relationships" r:id="Rc47e52a40dca4d3d"/>
  </x:tableParts>
</x:worksheet>
</file>