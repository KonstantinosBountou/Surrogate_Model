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drawings/charts/chart3.xml" ContentType="application/vnd.openxmlformats-officedocument.drawingml.chart+xml"/>
  <Override PartName="/xl/drawings/charts/chart4.xml" ContentType="application/vnd.openxmlformats-officedocument.drawingml.chart+xml"/>
  <Override PartName="/xl/drawings/charts/chart5.xml" ContentType="application/vnd.openxmlformats-officedocument.drawingml.chart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drawings/charts/chart6.xml" ContentType="application/vnd.openxmlformats-officedocument.drawingml.chart+xml"/>
  <Override PartName="/xl/drawings/charts/chart7.xml" ContentType="application/vnd.openxmlformats-officedocument.drawingml.chart+xml"/>
  <Override PartName="/xl/drawings/charts/chart8.xml" ContentType="application/vnd.openxmlformats-officedocument.drawingml.chart+xml"/>
  <Override PartName="/xl/drawings/charts/chart9.xml" ContentType="application/vnd.openxmlformats-officedocument.drawingml.chart+xml"/>
  <Override PartName="/xl/drawings/charts/chart10.xml" ContentType="application/vnd.openxmlformats-officedocument.drawingml.char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f9770319a0e4da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HARQ OFF-ON" sheetId="1" r:id="Rbdae02fb1ba9401b"/>
    <x:sheet xmlns:r="http://schemas.openxmlformats.org/officeDocument/2006/relationships" name="HARQ processes" sheetId="2" r:id="Re952ab17f1f4451b"/>
    <x:sheet xmlns:r="http://schemas.openxmlformats.org/officeDocument/2006/relationships" name="HARQ OFF-ON δεδομένα" sheetId="3" r:id="R1f531e7d4b254c59"/>
    <x:sheet xmlns:r="http://schemas.openxmlformats.org/officeDocument/2006/relationships" name="HARQ processes δεδομένα" sheetId="4" r:id="R7b7d3dd7dd714e58"/>
    <x:sheet xmlns:r="http://schemas.openxmlformats.org/officeDocument/2006/relationships" name="Αποτυχία 1 process" sheetId="5" r:id="R005255cb332c4e5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.000000000"/>
    <x:numFmt numFmtId="201" formatCode="0.###"/>
    <x:numFmt numFmtId="202" formatCode="0"/>
    <x:numFmt numFmtId="203" formatCode="0.000000"/>
  </x:numFmts>
  <x:fonts count="5">
    <x:font>
      <x:sz val="11"/>
      <x:name val="Carlito"/>
    </x:font>
    <x:font>
      <x:sz val="11"/>
      <x:color rgb="FF203047"/>
      <x:name val="Arial"/>
    </x:font>
    <x:font>
      <x:b/>
      <x:sz val="11"/>
      <x:color rgb="FFFFFFFF"/>
      <x:name val="Arial"/>
    </x:font>
    <x:font>
      <x:b/>
      <x:sz val="17"/>
      <x:color rgb="FF203047"/>
      <x:name val="Arial"/>
    </x:font>
    <x:font>
      <x:sz val="11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34B70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8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/>
    <x:xf numFmtId="0" fontId="1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203" fontId="1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/>
    <x:xf numFmtId="0" fontId="4" fillId="2" borderId="0" xfId="0" applyNumberFormat="1" applyFont="1" applyFill="1" applyBorder="1"/>
    <x:xf numFmtId="0" fontId="2" fillId="2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afbf9133fa44148" /><Relationship Type="http://schemas.openxmlformats.org/officeDocument/2006/relationships/theme" Target="/xl/theme/theme1.xml" Id="Rd4faecb6cfde40b7" /><Relationship Type="http://schemas.microsoft.com/office/2022/11/relationships/FeaturePropertyBag" Target="/xl/featurePropertyBag/featurePropertyBag.xml" Id="R799accdf311f443e" /><Relationship Type="http://schemas.openxmlformats.org/officeDocument/2006/relationships/sharedStrings" Target="/xl/sharedStrings.xml" Id="R946b0bc1ba364674" /><Relationship Type="http://schemas.openxmlformats.org/officeDocument/2006/relationships/worksheet" Target="/xl/worksheets/sheet1.xml" Id="Rbdae02fb1ba9401b" /><Relationship Type="http://schemas.openxmlformats.org/officeDocument/2006/relationships/worksheet" Target="/xl/worksheets/sheet2.xml" Id="Re952ab17f1f4451b" /><Relationship Type="http://schemas.openxmlformats.org/officeDocument/2006/relationships/worksheet" Target="/xl/worksheets/sheet3.xml" Id="R1f531e7d4b254c59" /><Relationship Type="http://schemas.openxmlformats.org/officeDocument/2006/relationships/worksheet" Target="/xl/worksheets/sheet4.xml" Id="R7b7d3dd7dd714e58" /><Relationship Type="http://schemas.openxmlformats.org/officeDocument/2006/relationships/worksheet" Target="/xl/worksheets/sheet5.xml" Id="R005255cb332c4e54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89e41c98069c41a0" /><Relationship Type="http://schemas.openxmlformats.org/officeDocument/2006/relationships/chart" Target="/xl/drawings/charts/chart2.xml" Id="Rf5fd41d7719a48a2" /><Relationship Type="http://schemas.openxmlformats.org/officeDocument/2006/relationships/chart" Target="/xl/drawings/charts/chart3.xml" Id="Rc03a0b96d232464d" /><Relationship Type="http://schemas.openxmlformats.org/officeDocument/2006/relationships/chart" Target="/xl/drawings/charts/chart4.xml" Id="R43fa041dd6464846" /><Relationship Type="http://schemas.openxmlformats.org/officeDocument/2006/relationships/chart" Target="/xl/drawings/charts/chart5.xml" Id="Re077035ef7f74df4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6.xml" Id="R3e3a725e25664e8d" /><Relationship Type="http://schemas.openxmlformats.org/officeDocument/2006/relationships/chart" Target="/xl/drawings/charts/chart7.xml" Id="R8b67fd89da3c4d15" /><Relationship Type="http://schemas.openxmlformats.org/officeDocument/2006/relationships/chart" Target="/xl/drawings/charts/chart8.xml" Id="Ra561153811c74880" /><Relationship Type="http://schemas.openxmlformats.org/officeDocument/2006/relationships/chart" Target="/xl/drawings/charts/chart9.xml" Id="R8544ed88b62d4252" /><Relationship Type="http://schemas.openxmlformats.org/officeDocument/2006/relationships/chart" Target="/xl/drawings/charts/chart10.xml" Id="R4803a128938244d4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125">
                <a:latin typeface="Arial"/>
                <a:ea typeface="Arial"/>
                <a:cs typeface="Arial"/>
              </a:rPr>
              <a:t>IP throughput (Mbps)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125">
              <a:latin typeface="Arial"/>
              <a:ea typeface="Arial"/>
              <a:cs typeface="Arial"/>
            </a:defRPr>
          </a:pPr>
        </a:p>
      </c:txPr>
    </c:title>
    <c:plotArea>
      <c:scatterChart>
        <c:scatterStyle val="lineMarker"/>
        <c:varyColors val="0"/>
        <c:ser>
          <c:idx val="0"/>
          <c:order val="0"/>
          <c:tx>
            <c:v>IP throughput (Mbps)</c:v>
          </c:tx>
          <c:spPr>
            <a:solidFill xmlns:a="http://schemas.openxmlformats.org/drawingml/2006/main">
              <a:srgbClr val="246B9B"/>
            </a:solidFill>
            <a:ln xmlns:a="http://schemas.openxmlformats.org/drawingml/2006/main" w="19050">
              <a:solidFill>
                <a:srgbClr val="246B9B"/>
              </a:solidFill>
              <a:prstDash val="solid"/>
            </a:ln>
          </c:spPr>
          <c:errBars>
            <c:errDir val="y"/>
            <c:errBarType val="both"/>
            <c:errValType val="cust"/>
            <c:noEndCap val="0"/>
            <c:plus>
              <c:numRef>
                <c:f>'HARQ OFF-ON'!$D$7:$D$8</c:f>
                <c:numCache>
                  <c:formatCode>0.000000</c:formatCode>
                  <c:ptCount val="2"/>
                  <c:pt idx="0">
                    <c:v>0</c:v>
                  </c:pt>
                  <c:pt idx="1">
                    <c:v>0</c:v>
                  </c:pt>
                </c:numCache>
              </c:numRef>
            </c:plus>
            <c:minus>
              <c:numRef>
                <c:f>'HARQ OFF-ON'!$D$7:$D$8</c:f>
                <c:numCache>
                  <c:formatCode>0.000000</c:formatCode>
                  <c:ptCount val="2"/>
                  <c:pt idx="0">
                    <c:v>0</c:v>
                  </c:pt>
                  <c:pt idx="1">
                    <c:v>0</c:v>
                  </c:pt>
                </c:numCache>
              </c:numRef>
            </c:minus>
          </c:errBars>
          <c:xVal>
            <c:numRef>
              <c:f>'HARQ OFF-ON'!$A$7:$A$8</c:f>
              <c:numCache>
                <c:formatCode>0.000000</c:formatCode>
                <c:ptCount val="2"/>
                <c:pt idx="0">
                  <c:v>0</c:v>
                </c:pt>
                <c:pt idx="1">
                  <c:v>3</c:v>
                </c:pt>
              </c:numCache>
            </c:numRef>
          </c:xVal>
          <c:yVal>
            <c:numRef>
              <c:f>'HARQ OFF-ON'!$C$7:$C$8</c:f>
              <c:numCache>
                <c:formatCode>0.000000</c:formatCode>
                <c:ptCount val="2"/>
                <c:pt idx="0">
                  <c:v>203.9995104</c:v>
                </c:pt>
                <c:pt idx="1">
                  <c:v>203.9995104</c:v>
                </c:pt>
              </c:numCache>
            </c:numRef>
          </c:yVal>
        </c:ser>
        <c:axId val="48650112"/>
        <c:axId val="48672768"/>
      </c:scatterChart>
      <c:valAx>
        <c:axId val="48672768"/>
        <c:scaling>
          <c:orientation val="minMax"/>
          <c:max val="224.39946144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900">
                <a:latin typeface="Arial"/>
                <a:ea typeface="Arial"/>
                <a:cs typeface="Arial"/>
              </a:defRPr>
            </a:pPr>
          </a:p>
        </c:txPr>
        <c:crossAx val="48650112"/>
      </c:valAx>
      <c:valAx>
        <c:axId val="48650112"/>
        <c:scaling>
          <c:orientation val="minMax"/>
          <c:max val="3"/>
          <c:min val="0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Max retransmissions (0=OFF, 3=ON)</a:t>
                </a:r>
              </a:p>
            </c:rich>
          </c:tx>
          <c:overlay val="0"/>
        </c:title>
        <c:numFmt formatCode="0.###" sourceLinked="0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900">
                <a:latin typeface="Arial"/>
                <a:ea typeface="Arial"/>
                <a:cs typeface="Arial"/>
              </a:defRPr>
            </a:pPr>
          </a:p>
        </c:txPr>
        <c:crossAx val="48672768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125">
                <a:latin typeface="Arial"/>
                <a:ea typeface="Arial"/>
                <a:cs typeface="Arial"/>
              </a:rPr>
              <a:t>Goodput (Mbps)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125">
              <a:latin typeface="Arial"/>
              <a:ea typeface="Arial"/>
              <a:cs typeface="Arial"/>
            </a:defRPr>
          </a:pPr>
        </a:p>
      </c:txPr>
    </c:title>
    <c:plotArea>
      <c:scatterChart>
        <c:scatterStyle val="lineMarker"/>
        <c:varyColors val="0"/>
        <c:ser>
          <c:idx val="0"/>
          <c:order val="0"/>
          <c:tx>
            <c:v>Goodput (Mbps)</c:v>
          </c:tx>
          <c:spPr>
            <a:solidFill xmlns:a="http://schemas.openxmlformats.org/drawingml/2006/main">
              <a:srgbClr val="246B9B"/>
            </a:solidFill>
            <a:ln xmlns:a="http://schemas.openxmlformats.org/drawingml/2006/main" w="19050">
              <a:solidFill>
                <a:srgbClr val="246B9B"/>
              </a:solidFill>
              <a:prstDash val="solid"/>
            </a:ln>
          </c:spPr>
          <c:errBars>
            <c:errDir val="y"/>
            <c:errBarType val="both"/>
            <c:errValType val="cust"/>
            <c:noEndCap val="0"/>
            <c:plus>
              <c:numRef>
                <c:f>'HARQ OFF-ON'!$F$7:$F$8</c:f>
                <c:numCache>
                  <c:formatCode>0.000000</c:formatCode>
                  <c:ptCount val="2"/>
                  <c:pt idx="0">
                    <c:v>0</c:v>
                  </c:pt>
                  <c:pt idx="1">
                    <c:v>0</c:v>
                  </c:pt>
                </c:numCache>
              </c:numRef>
            </c:plus>
            <c:minus>
              <c:numRef>
                <c:f>'HARQ OFF-ON'!$F$7:$F$8</c:f>
                <c:numCache>
                  <c:formatCode>0.000000</c:formatCode>
                  <c:ptCount val="2"/>
                  <c:pt idx="0">
                    <c:v>0</c:v>
                  </c:pt>
                  <c:pt idx="1">
                    <c:v>0</c:v>
                  </c:pt>
                </c:numCache>
              </c:numRef>
            </c:minus>
          </c:errBars>
          <c:xVal>
            <c:numRef>
              <c:f>'HARQ OFF-ON'!$A$7:$A$8</c:f>
              <c:numCache>
                <c:formatCode>0.000000</c:formatCode>
                <c:ptCount val="2"/>
                <c:pt idx="0">
                  <c:v>0</c:v>
                </c:pt>
                <c:pt idx="1">
                  <c:v>3</c:v>
                </c:pt>
              </c:numCache>
            </c:numRef>
          </c:xVal>
          <c:yVal>
            <c:numRef>
              <c:f>'HARQ OFF-ON'!$E$7:$E$8</c:f>
              <c:numCache>
                <c:formatCode>0.000000</c:formatCode>
                <c:ptCount val="2"/>
                <c:pt idx="0">
                  <c:v>199.99952</c:v>
                </c:pt>
                <c:pt idx="1">
                  <c:v>199.99952</c:v>
                </c:pt>
              </c:numCache>
            </c:numRef>
          </c:yVal>
        </c:ser>
        <c:axId val="48650112"/>
        <c:axId val="48672768"/>
      </c:scatterChart>
      <c:valAx>
        <c:axId val="48672768"/>
        <c:scaling>
          <c:orientation val="minMax"/>
          <c:max val="219.999472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900">
                <a:latin typeface="Arial"/>
                <a:ea typeface="Arial"/>
                <a:cs typeface="Arial"/>
              </a:defRPr>
            </a:pPr>
          </a:p>
        </c:txPr>
        <c:crossAx val="48650112"/>
      </c:valAx>
      <c:valAx>
        <c:axId val="48650112"/>
        <c:scaling>
          <c:orientation val="minMax"/>
          <c:max val="3"/>
          <c:min val="0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Max retransmissions (0=OFF, 3=ON)</a:t>
                </a:r>
              </a:p>
            </c:rich>
          </c:tx>
          <c:overlay val="0"/>
        </c:title>
        <c:numFmt formatCode="0.###" sourceLinked="0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900">
                <a:latin typeface="Arial"/>
                <a:ea typeface="Arial"/>
                <a:cs typeface="Arial"/>
              </a:defRPr>
            </a:pPr>
          </a:p>
        </c:txPr>
        <c:crossAx val="48672768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125">
                <a:latin typeface="Arial"/>
                <a:ea typeface="Arial"/>
                <a:cs typeface="Arial"/>
              </a:rPr>
              <a:t>Delay (ms)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125">
              <a:latin typeface="Arial"/>
              <a:ea typeface="Arial"/>
              <a:cs typeface="Arial"/>
            </a:defRPr>
          </a:pPr>
        </a:p>
      </c:txPr>
    </c:title>
    <c:plotArea>
      <c:scatterChart>
        <c:scatterStyle val="lineMarker"/>
        <c:varyColors val="0"/>
        <c:ser>
          <c:idx val="0"/>
          <c:order val="0"/>
          <c:tx>
            <c:v>Delay (ms)</c:v>
          </c:tx>
          <c:spPr>
            <a:solidFill xmlns:a="http://schemas.openxmlformats.org/drawingml/2006/main">
              <a:srgbClr val="246B9B"/>
            </a:solidFill>
            <a:ln xmlns:a="http://schemas.openxmlformats.org/drawingml/2006/main" w="19050">
              <a:solidFill>
                <a:srgbClr val="246B9B"/>
              </a:solidFill>
              <a:prstDash val="solid"/>
            </a:ln>
          </c:spPr>
          <c:errBars>
            <c:errDir val="y"/>
            <c:errBarType val="both"/>
            <c:errValType val="cust"/>
            <c:noEndCap val="0"/>
            <c:plus>
              <c:numRef>
                <c:f>'HARQ OFF-ON'!$H$7:$H$8</c:f>
                <c:numCache>
                  <c:formatCode>0.000000</c:formatCode>
                  <c:ptCount val="2"/>
                  <c:pt idx="0">
                    <c:v>0.0020507269797333852</c:v>
                  </c:pt>
                  <c:pt idx="1">
                    <c:v>0.0020507269797333852</c:v>
                  </c:pt>
                </c:numCache>
              </c:numRef>
            </c:plus>
            <c:minus>
              <c:numRef>
                <c:f>'HARQ OFF-ON'!$H$7:$H$8</c:f>
                <c:numCache>
                  <c:formatCode>0.000000</c:formatCode>
                  <c:ptCount val="2"/>
                  <c:pt idx="0">
                    <c:v>0.0020507269797333852</c:v>
                  </c:pt>
                  <c:pt idx="1">
                    <c:v>0.0020507269797333852</c:v>
                  </c:pt>
                </c:numCache>
              </c:numRef>
            </c:minus>
          </c:errBars>
          <c:xVal>
            <c:numRef>
              <c:f>'HARQ OFF-ON'!$A$7:$A$8</c:f>
              <c:numCache>
                <c:formatCode>0.000000</c:formatCode>
                <c:ptCount val="2"/>
                <c:pt idx="0">
                  <c:v>0</c:v>
                </c:pt>
                <c:pt idx="1">
                  <c:v>3</c:v>
                </c:pt>
              </c:numCache>
            </c:numRef>
          </c:xVal>
          <c:yVal>
            <c:numRef>
              <c:f>'HARQ OFF-ON'!$G$7:$G$8</c:f>
              <c:numCache>
                <c:formatCode>0.000000</c:formatCode>
                <c:ptCount val="2"/>
                <c:pt idx="0">
                  <c:v>3.6424370245999995</c:v>
                </c:pt>
                <c:pt idx="1">
                  <c:v>3.6424370245999995</c:v>
                </c:pt>
              </c:numCache>
            </c:numRef>
          </c:yVal>
        </c:ser>
        <c:axId val="48650112"/>
        <c:axId val="48672768"/>
      </c:scatterChart>
      <c:valAx>
        <c:axId val="48672768"/>
        <c:scaling>
          <c:orientation val="minMax"/>
          <c:max val="3.6517767270828925"/>
          <c:min val="3.6330973221171066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900">
                <a:latin typeface="Arial"/>
                <a:ea typeface="Arial"/>
                <a:cs typeface="Arial"/>
              </a:defRPr>
            </a:pPr>
          </a:p>
        </c:txPr>
        <c:crossAx val="48650112"/>
      </c:valAx>
      <c:valAx>
        <c:axId val="48650112"/>
        <c:scaling>
          <c:orientation val="minMax"/>
          <c:max val="3"/>
          <c:min val="0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Max retransmissions (0=OFF, 3=ON)</a:t>
                </a:r>
              </a:p>
            </c:rich>
          </c:tx>
          <c:overlay val="0"/>
        </c:title>
        <c:numFmt formatCode="0.###" sourceLinked="0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900">
                <a:latin typeface="Arial"/>
                <a:ea typeface="Arial"/>
                <a:cs typeface="Arial"/>
              </a:defRPr>
            </a:pPr>
          </a:p>
        </c:txPr>
        <c:crossAx val="48672768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4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125">
                <a:latin typeface="Arial"/>
                <a:ea typeface="Arial"/>
                <a:cs typeface="Arial"/>
              </a:rPr>
              <a:t>Loss after drain (%)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125">
              <a:latin typeface="Arial"/>
              <a:ea typeface="Arial"/>
              <a:cs typeface="Arial"/>
            </a:defRPr>
          </a:pPr>
        </a:p>
      </c:txPr>
    </c:title>
    <c:plotArea>
      <c:scatterChart>
        <c:scatterStyle val="lineMarker"/>
        <c:varyColors val="0"/>
        <c:ser>
          <c:idx val="0"/>
          <c:order val="0"/>
          <c:tx>
            <c:v>Loss after drain (%)</c:v>
          </c:tx>
          <c:spPr>
            <a:solidFill xmlns:a="http://schemas.openxmlformats.org/drawingml/2006/main">
              <a:srgbClr val="246B9B"/>
            </a:solidFill>
            <a:ln xmlns:a="http://schemas.openxmlformats.org/drawingml/2006/main" w="19050">
              <a:solidFill>
                <a:srgbClr val="246B9B"/>
              </a:solidFill>
              <a:prstDash val="solid"/>
            </a:ln>
          </c:spPr>
          <c:errBars>
            <c:errDir val="y"/>
            <c:errBarType val="both"/>
            <c:errValType val="cust"/>
            <c:noEndCap val="0"/>
            <c:plus>
              <c:numRef>
                <c:f>'HARQ OFF-ON'!$J$7:$J$8</c:f>
                <c:numCache>
                  <c:formatCode>0.000000</c:formatCode>
                  <c:ptCount val="2"/>
                  <c:pt idx="0">
                    <c:v>0</c:v>
                  </c:pt>
                  <c:pt idx="1">
                    <c:v>0</c:v>
                  </c:pt>
                </c:numCache>
              </c:numRef>
            </c:plus>
            <c:minus>
              <c:numRef>
                <c:f>'HARQ OFF-ON'!$J$7:$J$8</c:f>
                <c:numCache>
                  <c:formatCode>0.000000</c:formatCode>
                  <c:ptCount val="2"/>
                  <c:pt idx="0">
                    <c:v>0</c:v>
                  </c:pt>
                  <c:pt idx="1">
                    <c:v>0</c:v>
                  </c:pt>
                </c:numCache>
              </c:numRef>
            </c:minus>
          </c:errBars>
          <c:xVal>
            <c:numRef>
              <c:f>'HARQ OFF-ON'!$A$7:$A$8</c:f>
              <c:numCache>
                <c:formatCode>0.000000</c:formatCode>
                <c:ptCount val="2"/>
                <c:pt idx="0">
                  <c:v>0</c:v>
                </c:pt>
                <c:pt idx="1">
                  <c:v>3</c:v>
                </c:pt>
              </c:numCache>
            </c:numRef>
          </c:xVal>
          <c:yVal>
            <c:numRef>
              <c:f>'HARQ OFF-ON'!$I$7:$I$8</c:f>
              <c:numCache>
                <c:formatCode>0.000000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yVal>
        </c:ser>
        <c:axId val="48650112"/>
        <c:axId val="48672768"/>
      </c:scatterChart>
      <c:valAx>
        <c:axId val="48672768"/>
        <c:scaling>
          <c:orientation val="minMax"/>
          <c:max val="1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900">
                <a:latin typeface="Arial"/>
                <a:ea typeface="Arial"/>
                <a:cs typeface="Arial"/>
              </a:defRPr>
            </a:pPr>
          </a:p>
        </c:txPr>
        <c:crossAx val="48650112"/>
      </c:valAx>
      <c:valAx>
        <c:axId val="48650112"/>
        <c:scaling>
          <c:orientation val="minMax"/>
          <c:max val="3"/>
          <c:min val="0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Max retransmissions (0=OFF, 3=ON)</a:t>
                </a:r>
              </a:p>
            </c:rich>
          </c:tx>
          <c:overlay val="0"/>
        </c:title>
        <c:numFmt formatCode="0.###" sourceLinked="0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900">
                <a:latin typeface="Arial"/>
                <a:ea typeface="Arial"/>
                <a:cs typeface="Arial"/>
              </a:defRPr>
            </a:pPr>
          </a:p>
        </c:txPr>
        <c:crossAx val="48672768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5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125">
                <a:latin typeface="Arial"/>
                <a:ea typeface="Arial"/>
                <a:cs typeface="Arial"/>
              </a:rPr>
              <a:t>Jitter (ms)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125">
              <a:latin typeface="Arial"/>
              <a:ea typeface="Arial"/>
              <a:cs typeface="Arial"/>
            </a:defRPr>
          </a:pPr>
        </a:p>
      </c:txPr>
    </c:title>
    <c:plotArea>
      <c:scatterChart>
        <c:scatterStyle val="lineMarker"/>
        <c:varyColors val="0"/>
        <c:ser>
          <c:idx val="0"/>
          <c:order val="0"/>
          <c:tx>
            <c:v>Jitter (ms)</c:v>
          </c:tx>
          <c:spPr>
            <a:solidFill xmlns:a="http://schemas.openxmlformats.org/drawingml/2006/main">
              <a:srgbClr val="246B9B"/>
            </a:solidFill>
            <a:ln xmlns:a="http://schemas.openxmlformats.org/drawingml/2006/main" w="19050">
              <a:solidFill>
                <a:srgbClr val="246B9B"/>
              </a:solidFill>
              <a:prstDash val="solid"/>
            </a:ln>
          </c:spPr>
          <c:errBars>
            <c:errDir val="y"/>
            <c:errBarType val="both"/>
            <c:errValType val="cust"/>
            <c:noEndCap val="0"/>
            <c:plus>
              <c:numRef>
                <c:f>'HARQ OFF-ON'!$L$7:$L$8</c:f>
                <c:numCache>
                  <c:formatCode>0.000000</c:formatCode>
                  <c:ptCount val="2"/>
                  <c:pt idx="0">
                    <c:v>3.6144840699607794e-05</c:v>
                  </c:pt>
                  <c:pt idx="1">
                    <c:v>3.6144840699607794e-05</c:v>
                  </c:pt>
                </c:numCache>
              </c:numRef>
            </c:plus>
            <c:minus>
              <c:numRef>
                <c:f>'HARQ OFF-ON'!$L$7:$L$8</c:f>
                <c:numCache>
                  <c:formatCode>0.000000</c:formatCode>
                  <c:ptCount val="2"/>
                  <c:pt idx="0">
                    <c:v>3.6144840699607794e-05</c:v>
                  </c:pt>
                  <c:pt idx="1">
                    <c:v>3.6144840699607794e-05</c:v>
                  </c:pt>
                </c:numCache>
              </c:numRef>
            </c:minus>
          </c:errBars>
          <c:xVal>
            <c:numRef>
              <c:f>'HARQ OFF-ON'!$A$7:$A$8</c:f>
              <c:numCache>
                <c:formatCode>0.000000</c:formatCode>
                <c:ptCount val="2"/>
                <c:pt idx="0">
                  <c:v>0</c:v>
                </c:pt>
                <c:pt idx="1">
                  <c:v>3</c:v>
                </c:pt>
              </c:numCache>
            </c:numRef>
          </c:xVal>
          <c:yVal>
            <c:numRef>
              <c:f>'HARQ OFF-ON'!$K$7:$K$8</c:f>
              <c:numCache>
                <c:formatCode>0.000000</c:formatCode>
                <c:ptCount val="2"/>
                <c:pt idx="0">
                  <c:v>0.0990124452</c:v>
                </c:pt>
                <c:pt idx="1">
                  <c:v>0.0990124452</c:v>
                </c:pt>
              </c:numCache>
            </c:numRef>
          </c:yVal>
        </c:ser>
        <c:axId val="48650112"/>
        <c:axId val="48672768"/>
      </c:scatterChart>
      <c:valAx>
        <c:axId val="48672768"/>
        <c:scaling>
          <c:orientation val="minMax"/>
          <c:max val="0.099246687220781"/>
          <c:min val="0.09877820317921898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0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900">
                <a:latin typeface="Arial"/>
                <a:ea typeface="Arial"/>
                <a:cs typeface="Arial"/>
              </a:defRPr>
            </a:pPr>
          </a:p>
        </c:txPr>
        <c:crossAx val="48650112"/>
      </c:valAx>
      <c:valAx>
        <c:axId val="48650112"/>
        <c:scaling>
          <c:orientation val="minMax"/>
          <c:max val="3"/>
          <c:min val="0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Max retransmissions (0=OFF, 3=ON)</a:t>
                </a:r>
              </a:p>
            </c:rich>
          </c:tx>
          <c:overlay val="0"/>
        </c:title>
        <c:numFmt formatCode="0.###" sourceLinked="0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900">
                <a:latin typeface="Arial"/>
                <a:ea typeface="Arial"/>
                <a:cs typeface="Arial"/>
              </a:defRPr>
            </a:pPr>
          </a:p>
        </c:txPr>
        <c:crossAx val="48672768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6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125">
                <a:latin typeface="Arial"/>
                <a:ea typeface="Arial"/>
                <a:cs typeface="Arial"/>
              </a:rPr>
              <a:t>IP throughput (Mbps)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125">
              <a:latin typeface="Arial"/>
              <a:ea typeface="Arial"/>
              <a:cs typeface="Arial"/>
            </a:defRPr>
          </a:pPr>
        </a:p>
      </c:txPr>
    </c:title>
    <c:plotArea>
      <c:scatterChart>
        <c:scatterStyle val="lineMarker"/>
        <c:varyColors val="0"/>
        <c:ser>
          <c:idx val="0"/>
          <c:order val="0"/>
          <c:tx>
            <c:v>IP throughput (Mbps)</c:v>
          </c:tx>
          <c:spPr>
            <a:solidFill xmlns:a="http://schemas.openxmlformats.org/drawingml/2006/main">
              <a:srgbClr val="246B9B"/>
            </a:solidFill>
            <a:ln xmlns:a="http://schemas.openxmlformats.org/drawingml/2006/main" w="19050">
              <a:solidFill>
                <a:srgbClr val="246B9B"/>
              </a:solidFill>
              <a:prstDash val="solid"/>
            </a:ln>
          </c:spPr>
          <c:errBars>
            <c:errDir val="y"/>
            <c:errBarType val="both"/>
            <c:errValType val="cust"/>
            <c:noEndCap val="0"/>
            <c:plus>
              <c:numRef>
                <c:f>'HARQ processes'!$D$7:$D$10</c:f>
                <c:numCache>
                  <c:formatCode>0.000000</c:formatCode>
                  <c:ptCount val="4"/>
                  <c:pt idx="0">
                    <c:v>0</c:v>
                  </c:pt>
                  <c:pt idx="1">
                    <c:v>0.004006551690419368</c:v>
                  </c:pt>
                  <c:pt idx="2">
                    <c:v>0</c:v>
                  </c:pt>
                  <c:pt idx="3">
                    <c:v>0</c:v>
                  </c:pt>
                </c:numCache>
              </c:numRef>
            </c:plus>
            <c:minus>
              <c:numRef>
                <c:f>'HARQ processes'!$D$7:$D$10</c:f>
                <c:numCache>
                  <c:formatCode>0.000000</c:formatCode>
                  <c:ptCount val="4"/>
                  <c:pt idx="0">
                    <c:v>0</c:v>
                  </c:pt>
                  <c:pt idx="1">
                    <c:v>0.004006551690419368</c:v>
                  </c:pt>
                  <c:pt idx="2">
                    <c:v>0</c:v>
                  </c:pt>
                  <c:pt idx="3">
                    <c:v>0</c:v>
                  </c:pt>
                </c:numCache>
              </c:numRef>
            </c:minus>
          </c:errBars>
          <c:xVal>
            <c:numRef>
              <c:f>'HARQ processes'!$A$7:$A$10</c:f>
              <c:numCache>
                <c:formatCode>0.000000</c:formatCode>
                <c:ptCount val="4"/>
                <c:pt idx="0">
                  <c:v>2</c:v>
                </c:pt>
                <c:pt idx="1">
                  <c:v>4</c:v>
                </c:pt>
                <c:pt idx="2">
                  <c:v>8</c:v>
                </c:pt>
                <c:pt idx="3">
                  <c:v>16</c:v>
                </c:pt>
              </c:numCache>
            </c:numRef>
          </c:xVal>
          <c:yVal>
            <c:numRef>
              <c:f>'HARQ processes'!$C$7:$C$10</c:f>
              <c:numCache>
                <c:formatCode>0.000000</c:formatCode>
                <c:ptCount val="4"/>
                <c:pt idx="0">
                  <c:v>159.3853632</c:v>
                </c:pt>
                <c:pt idx="1">
                  <c:v>198.03206976</c:v>
                </c:pt>
                <c:pt idx="2">
                  <c:v>203.9995104</c:v>
                </c:pt>
                <c:pt idx="3">
                  <c:v>203.9995104</c:v>
                </c:pt>
              </c:numCache>
            </c:numRef>
          </c:yVal>
        </c:ser>
        <c:axId val="48650112"/>
        <c:axId val="48672768"/>
      </c:scatterChart>
      <c:valAx>
        <c:axId val="48672768"/>
        <c:scaling>
          <c:orientation val="minMax"/>
          <c:max val="224.39946144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900">
                <a:latin typeface="Arial"/>
                <a:ea typeface="Arial"/>
                <a:cs typeface="Arial"/>
              </a:defRPr>
            </a:pPr>
          </a:p>
        </c:txPr>
        <c:crossAx val="48650112"/>
      </c:valAx>
      <c:valAx>
        <c:axId val="48650112"/>
        <c:scaling>
          <c:orientation val="minMax"/>
          <c:max val="16"/>
          <c:min val="2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HARQ processes</a:t>
                </a:r>
              </a:p>
            </c:rich>
          </c:tx>
          <c:overlay val="0"/>
        </c:title>
        <c:numFmt formatCode="0.###" sourceLinked="0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900">
                <a:latin typeface="Arial"/>
                <a:ea typeface="Arial"/>
                <a:cs typeface="Arial"/>
              </a:defRPr>
            </a:pPr>
          </a:p>
        </c:txPr>
        <c:crossAx val="48672768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7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125">
                <a:latin typeface="Arial"/>
                <a:ea typeface="Arial"/>
                <a:cs typeface="Arial"/>
              </a:rPr>
              <a:t>Goodput (Mbps)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125">
              <a:latin typeface="Arial"/>
              <a:ea typeface="Arial"/>
              <a:cs typeface="Arial"/>
            </a:defRPr>
          </a:pPr>
        </a:p>
      </c:txPr>
    </c:title>
    <c:plotArea>
      <c:scatterChart>
        <c:scatterStyle val="lineMarker"/>
        <c:varyColors val="0"/>
        <c:ser>
          <c:idx val="0"/>
          <c:order val="0"/>
          <c:tx>
            <c:v>Goodput (Mbps)</c:v>
          </c:tx>
          <c:spPr>
            <a:solidFill xmlns:a="http://schemas.openxmlformats.org/drawingml/2006/main">
              <a:srgbClr val="246B9B"/>
            </a:solidFill>
            <a:ln xmlns:a="http://schemas.openxmlformats.org/drawingml/2006/main" w="19050">
              <a:solidFill>
                <a:srgbClr val="246B9B"/>
              </a:solidFill>
              <a:prstDash val="solid"/>
            </a:ln>
          </c:spPr>
          <c:errBars>
            <c:errDir val="y"/>
            <c:errBarType val="both"/>
            <c:errValType val="cust"/>
            <c:noEndCap val="0"/>
            <c:plus>
              <c:numRef>
                <c:f>'HARQ processes'!$F$7:$F$10</c:f>
                <c:numCache>
                  <c:formatCode>0.000000</c:formatCode>
                  <c:ptCount val="4"/>
                  <c:pt idx="0">
                    <c:v>0</c:v>
                  </c:pt>
                  <c:pt idx="1">
                    <c:v>0.0039279918533459655</c:v>
                  </c:pt>
                  <c:pt idx="2">
                    <c:v>0</c:v>
                  </c:pt>
                  <c:pt idx="3">
                    <c:v>0</c:v>
                  </c:pt>
                </c:numCache>
              </c:numRef>
            </c:plus>
            <c:minus>
              <c:numRef>
                <c:f>'HARQ processes'!$F$7:$F$10</c:f>
                <c:numCache>
                  <c:formatCode>0.000000</c:formatCode>
                  <c:ptCount val="4"/>
                  <c:pt idx="0">
                    <c:v>0</c:v>
                  </c:pt>
                  <c:pt idx="1">
                    <c:v>0.0039279918533459655</c:v>
                  </c:pt>
                  <c:pt idx="2">
                    <c:v>0</c:v>
                  </c:pt>
                  <c:pt idx="3">
                    <c:v>0</c:v>
                  </c:pt>
                </c:numCache>
              </c:numRef>
            </c:minus>
          </c:errBars>
          <c:xVal>
            <c:numRef>
              <c:f>'HARQ processes'!$A$7:$A$10</c:f>
              <c:numCache>
                <c:formatCode>0.000000</c:formatCode>
                <c:ptCount val="4"/>
                <c:pt idx="0">
                  <c:v>2</c:v>
                </c:pt>
                <c:pt idx="1">
                  <c:v>4</c:v>
                </c:pt>
                <c:pt idx="2">
                  <c:v>8</c:v>
                </c:pt>
                <c:pt idx="3">
                  <c:v>16</c:v>
                </c:pt>
              </c:numCache>
            </c:numRef>
          </c:xVal>
          <c:yVal>
            <c:numRef>
              <c:f>'HARQ processes'!$E$7:$E$10</c:f>
              <c:numCache>
                <c:formatCode>0.000000</c:formatCode>
                <c:ptCount val="4"/>
                <c:pt idx="0">
                  <c:v>156.26016</c:v>
                </c:pt>
                <c:pt idx="1">
                  <c:v>194.14908799999998</c:v>
                </c:pt>
                <c:pt idx="2">
                  <c:v>199.99952</c:v>
                </c:pt>
                <c:pt idx="3">
                  <c:v>199.99952</c:v>
                </c:pt>
              </c:numCache>
            </c:numRef>
          </c:yVal>
        </c:ser>
        <c:axId val="48650112"/>
        <c:axId val="48672768"/>
      </c:scatterChart>
      <c:valAx>
        <c:axId val="48672768"/>
        <c:scaling>
          <c:orientation val="minMax"/>
          <c:max val="219.999472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900">
                <a:latin typeface="Arial"/>
                <a:ea typeface="Arial"/>
                <a:cs typeface="Arial"/>
              </a:defRPr>
            </a:pPr>
          </a:p>
        </c:txPr>
        <c:crossAx val="48650112"/>
      </c:valAx>
      <c:valAx>
        <c:axId val="48650112"/>
        <c:scaling>
          <c:orientation val="minMax"/>
          <c:max val="16"/>
          <c:min val="2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HARQ processes</a:t>
                </a:r>
              </a:p>
            </c:rich>
          </c:tx>
          <c:overlay val="0"/>
        </c:title>
        <c:numFmt formatCode="0.###" sourceLinked="0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900">
                <a:latin typeface="Arial"/>
                <a:ea typeface="Arial"/>
                <a:cs typeface="Arial"/>
              </a:defRPr>
            </a:pPr>
          </a:p>
        </c:txPr>
        <c:crossAx val="48672768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8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125">
                <a:latin typeface="Arial"/>
                <a:ea typeface="Arial"/>
                <a:cs typeface="Arial"/>
              </a:rPr>
              <a:t>Delay (ms)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125">
              <a:latin typeface="Arial"/>
              <a:ea typeface="Arial"/>
              <a:cs typeface="Arial"/>
            </a:defRPr>
          </a:pPr>
        </a:p>
      </c:txPr>
    </c:title>
    <c:plotArea>
      <c:scatterChart>
        <c:scatterStyle val="lineMarker"/>
        <c:varyColors val="0"/>
        <c:ser>
          <c:idx val="0"/>
          <c:order val="0"/>
          <c:tx>
            <c:v>Delay (ms)</c:v>
          </c:tx>
          <c:spPr>
            <a:solidFill xmlns:a="http://schemas.openxmlformats.org/drawingml/2006/main">
              <a:srgbClr val="246B9B"/>
            </a:solidFill>
            <a:ln xmlns:a="http://schemas.openxmlformats.org/drawingml/2006/main" w="19050">
              <a:solidFill>
                <a:srgbClr val="246B9B"/>
              </a:solidFill>
              <a:prstDash val="solid"/>
            </a:ln>
          </c:spPr>
          <c:errBars>
            <c:errDir val="y"/>
            <c:errBarType val="both"/>
            <c:errValType val="cust"/>
            <c:noEndCap val="0"/>
            <c:plus>
              <c:numRef>
                <c:f>'HARQ processes'!$H$7:$H$10</c:f>
                <c:numCache>
                  <c:formatCode>0.000000</c:formatCode>
                  <c:ptCount val="4"/>
                  <c:pt idx="0">
                    <c:v>0.00035695379150491827</c:v>
                  </c:pt>
                  <c:pt idx="1">
                    <c:v>0.02124015185610018</c:v>
                  </c:pt>
                  <c:pt idx="2">
                    <c:v>0.004433096010703202</c:v>
                  </c:pt>
                  <c:pt idx="3">
                    <c:v>0.0020507269797333852</c:v>
                  </c:pt>
                </c:numCache>
              </c:numRef>
            </c:plus>
            <c:minus>
              <c:numRef>
                <c:f>'HARQ processes'!$H$7:$H$10</c:f>
                <c:numCache>
                  <c:formatCode>0.000000</c:formatCode>
                  <c:ptCount val="4"/>
                  <c:pt idx="0">
                    <c:v>0.00035695379150491827</c:v>
                  </c:pt>
                  <c:pt idx="1">
                    <c:v>0.02124015185610018</c:v>
                  </c:pt>
                  <c:pt idx="2">
                    <c:v>0.004433096010703202</c:v>
                  </c:pt>
                  <c:pt idx="3">
                    <c:v>0.0020507269797333852</c:v>
                  </c:pt>
                </c:numCache>
              </c:numRef>
            </c:minus>
          </c:errBars>
          <c:xVal>
            <c:numRef>
              <c:f>'HARQ processes'!$A$7:$A$10</c:f>
              <c:numCache>
                <c:formatCode>0.000000</c:formatCode>
                <c:ptCount val="4"/>
                <c:pt idx="0">
                  <c:v>2</c:v>
                </c:pt>
                <c:pt idx="1">
                  <c:v>4</c:v>
                </c:pt>
                <c:pt idx="2">
                  <c:v>8</c:v>
                </c:pt>
                <c:pt idx="3">
                  <c:v>16</c:v>
                </c:pt>
              </c:numCache>
            </c:numRef>
          </c:xVal>
          <c:yVal>
            <c:numRef>
              <c:f>'HARQ processes'!$G$7:$G$10</c:f>
              <c:numCache>
                <c:formatCode>0.000000</c:formatCode>
                <c:ptCount val="4"/>
                <c:pt idx="0">
                  <c:v>53.907783542000004</c:v>
                </c:pt>
                <c:pt idx="1">
                  <c:v>41.893101016</c:v>
                </c:pt>
                <c:pt idx="2">
                  <c:v>3.6426636172</c:v>
                </c:pt>
                <c:pt idx="3">
                  <c:v>3.6424370245999995</c:v>
                </c:pt>
              </c:numCache>
            </c:numRef>
          </c:yVal>
        </c:ser>
        <c:axId val="48650112"/>
        <c:axId val="48672768"/>
      </c:scatterChart>
      <c:valAx>
        <c:axId val="48672768"/>
        <c:scaling>
          <c:orientation val="minMax"/>
          <c:max val="61.44862699198184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900">
                <a:latin typeface="Arial"/>
                <a:ea typeface="Arial"/>
                <a:cs typeface="Arial"/>
              </a:defRPr>
            </a:pPr>
          </a:p>
        </c:txPr>
        <c:crossAx val="48650112"/>
      </c:valAx>
      <c:valAx>
        <c:axId val="48650112"/>
        <c:scaling>
          <c:orientation val="minMax"/>
          <c:max val="16"/>
          <c:min val="2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HARQ processes</a:t>
                </a:r>
              </a:p>
            </c:rich>
          </c:tx>
          <c:overlay val="0"/>
        </c:title>
        <c:numFmt formatCode="0.###" sourceLinked="0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900">
                <a:latin typeface="Arial"/>
                <a:ea typeface="Arial"/>
                <a:cs typeface="Arial"/>
              </a:defRPr>
            </a:pPr>
          </a:p>
        </c:txPr>
        <c:crossAx val="48672768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9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125">
                <a:latin typeface="Arial"/>
                <a:ea typeface="Arial"/>
                <a:cs typeface="Arial"/>
              </a:rPr>
              <a:t>Loss after drain (%)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125">
              <a:latin typeface="Arial"/>
              <a:ea typeface="Arial"/>
              <a:cs typeface="Arial"/>
            </a:defRPr>
          </a:pPr>
        </a:p>
      </c:txPr>
    </c:title>
    <c:plotArea>
      <c:scatterChart>
        <c:scatterStyle val="lineMarker"/>
        <c:varyColors val="0"/>
        <c:ser>
          <c:idx val="0"/>
          <c:order val="0"/>
          <c:tx>
            <c:v>Loss after drain (%)</c:v>
          </c:tx>
          <c:spPr>
            <a:solidFill xmlns:a="http://schemas.openxmlformats.org/drawingml/2006/main">
              <a:srgbClr val="246B9B"/>
            </a:solidFill>
            <a:ln xmlns:a="http://schemas.openxmlformats.org/drawingml/2006/main" w="19050">
              <a:solidFill>
                <a:srgbClr val="246B9B"/>
              </a:solidFill>
              <a:prstDash val="solid"/>
            </a:ln>
          </c:spPr>
          <c:errBars>
            <c:errDir val="y"/>
            <c:errBarType val="both"/>
            <c:errValType val="cust"/>
            <c:noEndCap val="0"/>
            <c:plus>
              <c:numRef>
                <c:f>'HARQ processes'!$J$7:$J$10</c:f>
                <c:numCache>
                  <c:formatCode>0.000000</c:formatCode>
                  <c:ptCount val="4"/>
                  <c:pt idx="0">
                    <c:v>0</c:v>
                  </c:pt>
                  <c:pt idx="1">
                    <c:v>0.001963995926676212</c:v>
                  </c:pt>
                  <c:pt idx="2">
                    <c:v>0</c:v>
                  </c:pt>
                  <c:pt idx="3">
                    <c:v>0</c:v>
                  </c:pt>
                </c:numCache>
              </c:numRef>
            </c:plus>
            <c:minus>
              <c:numRef>
                <c:f>'HARQ processes'!$J$7:$J$10</c:f>
                <c:numCache>
                  <c:formatCode>0.000000</c:formatCode>
                  <c:ptCount val="4"/>
                  <c:pt idx="0">
                    <c:v>0</c:v>
                  </c:pt>
                  <c:pt idx="1">
                    <c:v>0.001963995926676212</c:v>
                  </c:pt>
                  <c:pt idx="2">
                    <c:v>0</c:v>
                  </c:pt>
                  <c:pt idx="3">
                    <c:v>0</c:v>
                  </c:pt>
                </c:numCache>
              </c:numRef>
            </c:minus>
          </c:errBars>
          <c:xVal>
            <c:numRef>
              <c:f>'HARQ processes'!$A$7:$A$10</c:f>
              <c:numCache>
                <c:formatCode>0.000000</c:formatCode>
                <c:ptCount val="4"/>
                <c:pt idx="0">
                  <c:v>2</c:v>
                </c:pt>
                <c:pt idx="1">
                  <c:v>4</c:v>
                </c:pt>
                <c:pt idx="2">
                  <c:v>8</c:v>
                </c:pt>
                <c:pt idx="3">
                  <c:v>16</c:v>
                </c:pt>
              </c:numCache>
            </c:numRef>
          </c:xVal>
          <c:yVal>
            <c:numRef>
              <c:f>'HARQ processes'!$I$7:$I$10</c:f>
              <c:numCache>
                <c:formatCode>0.000000</c:formatCode>
                <c:ptCount val="4"/>
                <c:pt idx="0">
                  <c:v>21.8697325</c:v>
                </c:pt>
                <c:pt idx="1">
                  <c:v>2.925223</c:v>
                </c:pt>
                <c:pt idx="2">
                  <c:v>0</c:v>
                </c:pt>
                <c:pt idx="3">
                  <c:v>0</c:v>
                </c:pt>
              </c:numCache>
            </c:numRef>
          </c:yVal>
        </c:ser>
        <c:axId val="48650112"/>
        <c:axId val="48672768"/>
      </c:scatterChart>
      <c:valAx>
        <c:axId val="48672768"/>
        <c:scaling>
          <c:orientation val="minMax"/>
          <c:max val="24.056705750000003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900">
                <a:latin typeface="Arial"/>
                <a:ea typeface="Arial"/>
                <a:cs typeface="Arial"/>
              </a:defRPr>
            </a:pPr>
          </a:p>
        </c:txPr>
        <c:crossAx val="48650112"/>
      </c:valAx>
      <c:valAx>
        <c:axId val="48650112"/>
        <c:scaling>
          <c:orientation val="minMax"/>
          <c:max val="16"/>
          <c:min val="2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HARQ processes</a:t>
                </a:r>
              </a:p>
            </c:rich>
          </c:tx>
          <c:overlay val="0"/>
        </c:title>
        <c:numFmt formatCode="0.###" sourceLinked="0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900">
                <a:latin typeface="Arial"/>
                <a:ea typeface="Arial"/>
                <a:cs typeface="Arial"/>
              </a:defRPr>
            </a:pPr>
          </a:p>
        </c:txPr>
        <c:crossAx val="48672768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10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125">
                <a:latin typeface="Arial"/>
                <a:ea typeface="Arial"/>
                <a:cs typeface="Arial"/>
              </a:rPr>
              <a:t>Jitter (ms)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125">
              <a:latin typeface="Arial"/>
              <a:ea typeface="Arial"/>
              <a:cs typeface="Arial"/>
            </a:defRPr>
          </a:pPr>
        </a:p>
      </c:txPr>
    </c:title>
    <c:plotArea>
      <c:scatterChart>
        <c:scatterStyle val="lineMarker"/>
        <c:varyColors val="0"/>
        <c:ser>
          <c:idx val="0"/>
          <c:order val="0"/>
          <c:tx>
            <c:v>Jitter (ms)</c:v>
          </c:tx>
          <c:spPr>
            <a:solidFill xmlns:a="http://schemas.openxmlformats.org/drawingml/2006/main">
              <a:srgbClr val="246B9B"/>
            </a:solidFill>
            <a:ln xmlns:a="http://schemas.openxmlformats.org/drawingml/2006/main" w="19050">
              <a:solidFill>
                <a:srgbClr val="246B9B"/>
              </a:solidFill>
              <a:prstDash val="solid"/>
            </a:ln>
          </c:spPr>
          <c:errBars>
            <c:errDir val="y"/>
            <c:errBarType val="both"/>
            <c:errValType val="cust"/>
            <c:noEndCap val="0"/>
            <c:plus>
              <c:numRef>
                <c:f>'HARQ processes'!$L$7:$L$10</c:f>
                <c:numCache>
                  <c:formatCode>0.000000</c:formatCode>
                  <c:ptCount val="4"/>
                  <c:pt idx="0">
                    <c:v>1.5325751456290744e-05</c:v>
                  </c:pt>
                  <c:pt idx="1">
                    <c:v>1.6731434839845568e-05</c:v>
                  </c:pt>
                  <c:pt idx="2">
                    <c:v>7.203673189630565e-05</c:v>
                  </c:pt>
                  <c:pt idx="3">
                    <c:v>3.6144840699607794e-05</c:v>
                  </c:pt>
                </c:numCache>
              </c:numRef>
            </c:plus>
            <c:minus>
              <c:numRef>
                <c:f>'HARQ processes'!$L$7:$L$10</c:f>
                <c:numCache>
                  <c:formatCode>0.000000</c:formatCode>
                  <c:ptCount val="4"/>
                  <c:pt idx="0">
                    <c:v>1.5325751456290744e-05</c:v>
                  </c:pt>
                  <c:pt idx="1">
                    <c:v>1.6731434839845568e-05</c:v>
                  </c:pt>
                  <c:pt idx="2">
                    <c:v>7.203673189630565e-05</c:v>
                  </c:pt>
                  <c:pt idx="3">
                    <c:v>3.6144840699607794e-05</c:v>
                  </c:pt>
                </c:numCache>
              </c:numRef>
            </c:minus>
          </c:errBars>
          <c:xVal>
            <c:numRef>
              <c:f>'HARQ processes'!$A$7:$A$10</c:f>
              <c:numCache>
                <c:formatCode>0.000000</c:formatCode>
                <c:ptCount val="4"/>
                <c:pt idx="0">
                  <c:v>2</c:v>
                </c:pt>
                <c:pt idx="1">
                  <c:v>4</c:v>
                </c:pt>
                <c:pt idx="2">
                  <c:v>8</c:v>
                </c:pt>
                <c:pt idx="3">
                  <c:v>16</c:v>
                </c:pt>
              </c:numCache>
            </c:numRef>
          </c:xVal>
          <c:yVal>
            <c:numRef>
              <c:f>'HARQ processes'!$K$7:$K$10</c:f>
              <c:numCache>
                <c:formatCode>0.000000</c:formatCode>
                <c:ptCount val="4"/>
                <c:pt idx="0">
                  <c:v>0.12949809980000002</c:v>
                </c:pt>
                <c:pt idx="1">
                  <c:v>0.1027212636</c:v>
                </c:pt>
                <c:pt idx="2">
                  <c:v>0.09900372660000001</c:v>
                </c:pt>
                <c:pt idx="3">
                  <c:v>0.0990124452</c:v>
                </c:pt>
              </c:numCache>
            </c:numRef>
          </c:yVal>
        </c:ser>
        <c:axId val="48650112"/>
        <c:axId val="48672768"/>
      </c:scatterChart>
      <c:valAx>
        <c:axId val="48672768"/>
        <c:scaling>
          <c:orientation val="minMax"/>
          <c:max val="0.1341006859039592"/>
          <c:min val="0.0943444295156008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0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900">
                <a:latin typeface="Arial"/>
                <a:ea typeface="Arial"/>
                <a:cs typeface="Arial"/>
              </a:defRPr>
            </a:pPr>
          </a:p>
        </c:txPr>
        <c:crossAx val="48650112"/>
      </c:valAx>
      <c:valAx>
        <c:axId val="48650112"/>
        <c:scaling>
          <c:orientation val="minMax"/>
          <c:max val="16"/>
          <c:min val="2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HARQ processes</a:t>
                </a:r>
              </a:p>
            </c:rich>
          </c:tx>
          <c:overlay val="0"/>
        </c:title>
        <c:numFmt formatCode="0.###" sourceLinked="0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900">
                <a:latin typeface="Arial"/>
                <a:ea typeface="Arial"/>
                <a:cs typeface="Arial"/>
              </a:defRPr>
            </a:pPr>
          </a:p>
        </c:txPr>
        <c:crossAx val="48672768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14</xdr:row>
      <xdr:rowOff>0</xdr:rowOff>
    </xdr:from>
    <xdr:to>
      <xdr:col>6</xdr:col>
      <xdr:colOff>0</xdr:colOff>
      <xdr:row>30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89e41c98069c41a0"/>
        </a:graphicData>
      </a:graphic>
    </xdr:graphicFrame>
    <xdr:clientData/>
  </xdr:twoCellAnchor>
  <xdr:twoCellAnchor>
    <xdr:from>
      <xdr:col>6</xdr:col>
      <xdr:colOff>0</xdr:colOff>
      <xdr:row>14</xdr:row>
      <xdr:rowOff>0</xdr:rowOff>
    </xdr:from>
    <xdr:to>
      <xdr:col>12</xdr:col>
      <xdr:colOff>0</xdr:colOff>
      <xdr:row>30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f5fd41d7719a48a2"/>
        </a:graphicData>
      </a:graphic>
    </xdr:graphicFrame>
    <xdr:clientData/>
  </xdr:twoCellAnchor>
  <xdr:twoCellAnchor>
    <xdr:from>
      <xdr:col>0</xdr:col>
      <xdr:colOff>0</xdr:colOff>
      <xdr:row>31</xdr:row>
      <xdr:rowOff>0</xdr:rowOff>
    </xdr:from>
    <xdr:to>
      <xdr:col>6</xdr:col>
      <xdr:colOff>0</xdr:colOff>
      <xdr:row>47</xdr:row>
      <xdr:rowOff>0</xdr:rowOff>
    </xdr:to>
    <xdr:graphicFrame macro="">
      <xdr:nvGraphicFramePr>
        <xdr:cNvPr id="3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03a0b96d232464d"/>
        </a:graphicData>
      </a:graphic>
    </xdr:graphicFrame>
    <xdr:clientData/>
  </xdr:twoCellAnchor>
  <xdr:twoCellAnchor>
    <xdr:from>
      <xdr:col>6</xdr:col>
      <xdr:colOff>0</xdr:colOff>
      <xdr:row>31</xdr:row>
      <xdr:rowOff>0</xdr:rowOff>
    </xdr:from>
    <xdr:to>
      <xdr:col>12</xdr:col>
      <xdr:colOff>0</xdr:colOff>
      <xdr:row>47</xdr:row>
      <xdr:rowOff>0</xdr:rowOff>
    </xdr:to>
    <xdr:graphicFrame macro="">
      <xdr:nvGraphicFramePr>
        <xdr:cNvPr id="4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43fa041dd6464846"/>
        </a:graphicData>
      </a:graphic>
    </xdr:graphicFrame>
    <xdr:clientData/>
  </xdr:twoCellAnchor>
  <xdr:twoCellAnchor>
    <xdr:from>
      <xdr:col>0</xdr:col>
      <xdr:colOff>0</xdr:colOff>
      <xdr:row>48</xdr:row>
      <xdr:rowOff>0</xdr:rowOff>
    </xdr:from>
    <xdr:to>
      <xdr:col>6</xdr:col>
      <xdr:colOff>0</xdr:colOff>
      <xdr:row>64</xdr:row>
      <xdr:rowOff>0</xdr:rowOff>
    </xdr:to>
    <xdr:graphicFrame macro="">
      <xdr:nvGraphicFramePr>
        <xdr:cNvPr id="5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e077035ef7f74df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0</xdr:col>
      <xdr:colOff>0</xdr:colOff>
      <xdr:row>14</xdr:row>
      <xdr:rowOff>0</xdr:rowOff>
    </xdr:from>
    <xdr:to>
      <xdr:col>6</xdr:col>
      <xdr:colOff>0</xdr:colOff>
      <xdr:row>30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3e3a725e25664e8d"/>
        </a:graphicData>
      </a:graphic>
    </xdr:graphicFrame>
    <xdr:clientData/>
  </xdr:twoCellAnchor>
  <xdr:twoCellAnchor>
    <xdr:from>
      <xdr:col>6</xdr:col>
      <xdr:colOff>0</xdr:colOff>
      <xdr:row>14</xdr:row>
      <xdr:rowOff>0</xdr:rowOff>
    </xdr:from>
    <xdr:to>
      <xdr:col>12</xdr:col>
      <xdr:colOff>0</xdr:colOff>
      <xdr:row>30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8b67fd89da3c4d15"/>
        </a:graphicData>
      </a:graphic>
    </xdr:graphicFrame>
    <xdr:clientData/>
  </xdr:twoCellAnchor>
  <xdr:twoCellAnchor>
    <xdr:from>
      <xdr:col>0</xdr:col>
      <xdr:colOff>0</xdr:colOff>
      <xdr:row>31</xdr:row>
      <xdr:rowOff>0</xdr:rowOff>
    </xdr:from>
    <xdr:to>
      <xdr:col>6</xdr:col>
      <xdr:colOff>0</xdr:colOff>
      <xdr:row>47</xdr:row>
      <xdr:rowOff>0</xdr:rowOff>
    </xdr:to>
    <xdr:graphicFrame macro="">
      <xdr:nvGraphicFramePr>
        <xdr:cNvPr id="3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a561153811c74880"/>
        </a:graphicData>
      </a:graphic>
    </xdr:graphicFrame>
    <xdr:clientData/>
  </xdr:twoCellAnchor>
  <xdr:twoCellAnchor>
    <xdr:from>
      <xdr:col>6</xdr:col>
      <xdr:colOff>0</xdr:colOff>
      <xdr:row>31</xdr:row>
      <xdr:rowOff>0</xdr:rowOff>
    </xdr:from>
    <xdr:to>
      <xdr:col>12</xdr:col>
      <xdr:colOff>0</xdr:colOff>
      <xdr:row>47</xdr:row>
      <xdr:rowOff>0</xdr:rowOff>
    </xdr:to>
    <xdr:graphicFrame macro="">
      <xdr:nvGraphicFramePr>
        <xdr:cNvPr id="4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8544ed88b62d4252"/>
        </a:graphicData>
      </a:graphic>
    </xdr:graphicFrame>
    <xdr:clientData/>
  </xdr:twoCellAnchor>
  <xdr:twoCellAnchor>
    <xdr:from>
      <xdr:col>0</xdr:col>
      <xdr:colOff>0</xdr:colOff>
      <xdr:row>48</xdr:row>
      <xdr:rowOff>0</xdr:rowOff>
    </xdr:from>
    <xdr:to>
      <xdr:col>6</xdr:col>
      <xdr:colOff>0</xdr:colOff>
      <xdr:row>64</xdr:row>
      <xdr:rowOff>0</xdr:rowOff>
    </xdr:to>
    <xdr:graphicFrame macro="">
      <xdr:nvGraphicFramePr>
        <xdr:cNvPr id="5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4803a128938244d4"/>
        </a:graphicData>
      </a:graphic>
    </xdr:graphicFrame>
    <xdr:clientData/>
  </xdr:twoCellAnchor>
</xdr:wsDr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Data_retx" displayName="Data_retx" ref="A1:AM11" headerRowCount="1" totalsRowCount="0" totalsRowShown="0">
  <x:tableColumns count="39">
    <x:tableColumn id="1" name="status"/>
    <x:tableColumn id="2" name="experiment_index"/>
    <x:tableColumn id="3" name="experiment_id"/>
    <x:tableColumn id="4" name="n8n_execution_id"/>
    <x:tableColumn id="5" name="data_source"/>
    <x:tableColumn id="6" name="config_path"/>
    <x:tableColumn id="7" name="results_path"/>
    <x:tableColumn id="8" name="experiment_dir"/>
    <x:tableColumn id="9" name="harq_enabled"/>
    <x:tableColumn id="10" name="harq_max_retransmissions"/>
    <x:tableColumn id="11" name="harq_processes"/>
    <x:tableColumn id="12" name="gnb_antenna_model"/>
    <x:tableColumn id="13" name="gnb_antenna_max_gain_dbi"/>
    <x:tableColumn id="14" name="gnb_antenna_orientation_deg"/>
    <x:tableColumn id="15" name="gnb_antenna_horizontal_beamwidth_deg"/>
    <x:tableColumn id="16" name="gnb_antenna_vertical_beamwidth_deg"/>
    <x:tableColumn id="17" name="gnb_antenna_effective_gain_toward_ue_db"/>
    <x:tableColumn id="18" name="carrier_frequency_hz"/>
    <x:tableColumn id="19" name="ue_distance_2d_m"/>
    <x:tableColumn id="20" name="ue_distance_3d_m"/>
    <x:tableColumn id="21" name="ue_tx_power_dbm"/>
    <x:tableColumn id="22" name="offered_load_mbps"/>
    <x:tableColumn id="23" name="bandwidth_hz"/>
    <x:tableColumn id="24" name="numerology"/>
    <x:tableColumn id="25" name="tdd_pattern"/>
    <x:tableColumn id="26" name="packet_size_bytes"/>
    <x:tableColumn id="27" name="rlc_buffer_size_bytes"/>
    <x:tableColumn id="28" name="rng_seed"/>
    <x:tableColumn id="29" name="rng_run"/>
    <x:tableColumn id="30" name="throughput_mbps"/>
    <x:tableColumn id="31" name="app_goodput_mbps"/>
    <x:tableColumn id="32" name="end_to_end_delay_ms"/>
    <x:tableColumn id="33" name="jitter_ms"/>
    <x:tableColumn id="34" name="loss_fraction"/>
    <x:tableColumn id="35" name="tx_packets"/>
    <x:tableColumn id="36" name="rx_packets"/>
    <x:tableColumn id="37" name="ip_rx_bytes"/>
    <x:tableColumn id="38" name="unreceived_packets_after_drain"/>
    <x:tableColumn id="39" name="source_csv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Data_processes" displayName="Data_processes" ref="A1:AM21" headerRowCount="1" totalsRowCount="0" totalsRowShown="0">
  <x:tableColumns count="39">
    <x:tableColumn id="1" name="status"/>
    <x:tableColumn id="2" name="experiment_index"/>
    <x:tableColumn id="3" name="experiment_id"/>
    <x:tableColumn id="4" name="n8n_execution_id"/>
    <x:tableColumn id="5" name="data_source"/>
    <x:tableColumn id="6" name="config_path"/>
    <x:tableColumn id="7" name="results_path"/>
    <x:tableColumn id="8" name="experiment_dir"/>
    <x:tableColumn id="9" name="harq_enabled"/>
    <x:tableColumn id="10" name="harq_max_retransmissions"/>
    <x:tableColumn id="11" name="harq_processes"/>
    <x:tableColumn id="12" name="gnb_antenna_model"/>
    <x:tableColumn id="13" name="gnb_antenna_max_gain_dbi"/>
    <x:tableColumn id="14" name="gnb_antenna_orientation_deg"/>
    <x:tableColumn id="15" name="gnb_antenna_horizontal_beamwidth_deg"/>
    <x:tableColumn id="16" name="gnb_antenna_vertical_beamwidth_deg"/>
    <x:tableColumn id="17" name="gnb_antenna_effective_gain_toward_ue_db"/>
    <x:tableColumn id="18" name="carrier_frequency_hz"/>
    <x:tableColumn id="19" name="ue_distance_2d_m"/>
    <x:tableColumn id="20" name="ue_distance_3d_m"/>
    <x:tableColumn id="21" name="ue_tx_power_dbm"/>
    <x:tableColumn id="22" name="offered_load_mbps"/>
    <x:tableColumn id="23" name="bandwidth_hz"/>
    <x:tableColumn id="24" name="numerology"/>
    <x:tableColumn id="25" name="tdd_pattern"/>
    <x:tableColumn id="26" name="packet_size_bytes"/>
    <x:tableColumn id="27" name="rlc_buffer_size_bytes"/>
    <x:tableColumn id="28" name="rng_seed"/>
    <x:tableColumn id="29" name="rng_run"/>
    <x:tableColumn id="30" name="throughput_mbps"/>
    <x:tableColumn id="31" name="app_goodput_mbps"/>
    <x:tableColumn id="32" name="end_to_end_delay_ms"/>
    <x:tableColumn id="33" name="jitter_ms"/>
    <x:tableColumn id="34" name="loss_fraction"/>
    <x:tableColumn id="35" name="tx_packets"/>
    <x:tableColumn id="36" name="rx_packets"/>
    <x:tableColumn id="37" name="ip_rx_bytes"/>
    <x:tableColumn id="38" name="unreceived_packets_after_drain"/>
    <x:tableColumn id="39" name="source_csv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d3aefed09d2543b5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2.xml" Id="R79ad588ba065496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1.xml" Id="Rde6d85f13385427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2.xml" Id="R065860865f76433c" /></Relationships>
</file>

<file path=xl/worksheets/sheet1.xml><?xml version="1.0" encoding="utf-8"?>
<x:worksheet xmlns:x="http://schemas.openxmlformats.org/spreadsheetml/2006/main">
  <x:sheetPr>
    <x:tabColor rgb="FF234B70"/>
  </x:sheetPr>
  <x:sheetViews>
    <x:sheetView showGridLines="0" workbookViewId="0"/>
  </x:sheetViews>
  <x:sheetFormatPr defaultRowHeight="15"/>
  <x:cols>
    <x:col min="1" max="1" width="15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</x:cols>
  <x:sheetData>
    <x:row r="1" ht="23" customHeight="1">
      <x:c r="A1" s="4"/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</x:row>
    <x:row r="2" ht="23" customHeight="1">
      <x:c r="A2" s="11" t="str">
        <x:v>HARQ OFF / ON</x:v>
      </x:c>
      <x:c r="B2" s="4"/>
      <x:c r="C2" s="4"/>
      <x:c r="D2" s="4"/>
      <x:c r="E2" s="4"/>
      <x:c r="F2" s="4"/>
      <x:c r="G2" s="4"/>
      <x:c r="H2" s="4"/>
      <x:c r="I2" s="4"/>
      <x:c r="J2" s="4"/>
      <x:c r="K2" s="4"/>
      <x:c r="L2" s="4"/>
    </x:row>
    <x:row r="3" ht="23" customHeight="1">
      <x:c r="A3" s="4"/>
      <x:c r="B3" s="4"/>
      <x:c r="C3" s="4"/>
      <x:c r="D3" s="4"/>
      <x:c r="E3" s="4"/>
      <x:c r="F3" s="4"/>
      <x:c r="G3" s="4"/>
      <x:c r="H3" s="4"/>
      <x:c r="I3" s="4"/>
      <x:c r="J3" s="4"/>
      <x:c r="K3" s="4"/>
      <x:c r="L3" s="4"/>
    </x:row>
    <x:row r="4" ht="23" customHeight="1">
      <x:c r="A4" s="4" t="str">
        <x:v>10 επιτυχείς μετρήσεις. Seed 42, runs 1–5. Μέσος όρος και δειγματική τυπική απόκλιση (SD).</x:v>
      </x:c>
      <x:c r="B4" s="4"/>
      <x:c r="C4" s="4"/>
      <x:c r="D4" s="4"/>
      <x:c r="E4" s="4"/>
      <x:c r="F4" s="4"/>
      <x:c r="G4" s="4"/>
      <x:c r="H4" s="4"/>
      <x:c r="I4" s="4"/>
      <x:c r="J4" s="4"/>
      <x:c r="K4" s="4"/>
      <x:c r="L4" s="4"/>
    </x:row>
    <x:row r="5" ht="23" customHeight="1">
      <x:c r="A5" s="4"/>
      <x:c r="B5" s="4"/>
      <x:c r="C5" s="4"/>
      <x:c r="D5" s="4"/>
      <x:c r="E5" s="4"/>
      <x:c r="F5" s="4"/>
      <x:c r="G5" s="4"/>
      <x:c r="H5" s="4"/>
      <x:c r="I5" s="4"/>
      <x:c r="J5" s="4"/>
      <x:c r="K5" s="4"/>
      <x:c r="L5" s="4"/>
    </x:row>
    <x:row r="6" ht="65" customHeight="1">
      <x:c r="A6" s="9" t="str">
        <x:v>Max retransmissions (0=OFF, 3=ON)</x:v>
      </x:c>
      <x:c r="B6" s="9" t="str">
        <x:v>n</x:v>
      </x:c>
      <x:c r="C6" s="9" t="str">
        <x:v>IP throughput (Mbps)</x:v>
      </x:c>
      <x:c r="D6" s="9" t="str">
        <x:v>SD (Mbps)</x:v>
      </x:c>
      <x:c r="E6" s="9" t="str">
        <x:v>Goodput (Mbps)</x:v>
      </x:c>
      <x:c r="F6" s="9" t="str">
        <x:v>SD (Mbps)</x:v>
      </x:c>
      <x:c r="G6" s="9" t="str">
        <x:v>Delay (ms)</x:v>
      </x:c>
      <x:c r="H6" s="9" t="str">
        <x:v>SD (ms)</x:v>
      </x:c>
      <x:c r="I6" s="9" t="str">
        <x:v>Loss after drain (%)</x:v>
      </x:c>
      <x:c r="J6" s="9" t="str">
        <x:v>SD (ποσ. μον.)</x:v>
      </x:c>
      <x:c r="K6" s="9" t="str">
        <x:v>Jitter (ms)</x:v>
      </x:c>
      <x:c r="L6" s="9" t="str">
        <x:v>SD (ms)</x:v>
      </x:c>
    </x:row>
    <x:row r="7" ht="23" customHeight="1">
      <x:c r="A7" s="12" t="n">
        <x:f>'HARQ OFF-ON δεδομένα'!J2/1</x:f>
        <x:v>0</x:v>
      </x:c>
      <x:c r="B7" s="13" t="n">
        <x:f>COUNT('HARQ OFF-ON δεδομένα'!AC2:AC6)</x:f>
        <x:v>5</x:v>
      </x:c>
      <x:c r="C7" s="14" t="n">
        <x:f>AVERAGE('HARQ OFF-ON δεδομένα'!AD2:AD6)*1</x:f>
        <x:v>203.9995104</x:v>
      </x:c>
      <x:c r="D7" s="14" t="n">
        <x:f>STDEV('HARQ OFF-ON δεδομένα'!AD2:AD6)*1</x:f>
        <x:v>0</x:v>
      </x:c>
      <x:c r="E7" s="14" t="n">
        <x:f>AVERAGE('HARQ OFF-ON δεδομένα'!AE2:AE6)*1</x:f>
        <x:v>199.99952</x:v>
      </x:c>
      <x:c r="F7" s="14" t="n">
        <x:f>STDEV('HARQ OFF-ON δεδομένα'!AE2:AE6)*1</x:f>
        <x:v>0</x:v>
      </x:c>
      <x:c r="G7" s="14" t="n">
        <x:f>AVERAGE('HARQ OFF-ON δεδομένα'!AF2:AF6)*1</x:f>
        <x:v>3.6424370245999995</x:v>
      </x:c>
      <x:c r="H7" s="14" t="n">
        <x:f>STDEV('HARQ OFF-ON δεδομένα'!AF2:AF6)*1</x:f>
        <x:v>0.0020507269797333852</x:v>
      </x:c>
      <x:c r="I7" s="14" t="n">
        <x:f>AVERAGE('HARQ OFF-ON δεδομένα'!AH2:AH6)*100</x:f>
        <x:v>0</x:v>
      </x:c>
      <x:c r="J7" s="14" t="n">
        <x:f>STDEV('HARQ OFF-ON δεδομένα'!AH2:AH6)*100</x:f>
        <x:v>0</x:v>
      </x:c>
      <x:c r="K7" s="14" t="n">
        <x:f>AVERAGE('HARQ OFF-ON δεδομένα'!AG2:AG6)*1</x:f>
        <x:v>0.0990124452</x:v>
      </x:c>
      <x:c r="L7" s="14" t="n">
        <x:f>STDEV('HARQ OFF-ON δεδομένα'!AG2:AG6)*1</x:f>
        <x:v>0.000036144840699607794</x:v>
      </x:c>
    </x:row>
    <x:row r="8" ht="23" customHeight="1">
      <x:c r="A8" s="12" t="n">
        <x:f>'HARQ OFF-ON δεδομένα'!J7/1</x:f>
        <x:v>3</x:v>
      </x:c>
      <x:c r="B8" s="13" t="n">
        <x:f>COUNT('HARQ OFF-ON δεδομένα'!AC7:AC11)</x:f>
        <x:v>5</x:v>
      </x:c>
      <x:c r="C8" s="14" t="n">
        <x:f>AVERAGE('HARQ OFF-ON δεδομένα'!AD7:AD11)*1</x:f>
        <x:v>203.9995104</x:v>
      </x:c>
      <x:c r="D8" s="14" t="n">
        <x:f>STDEV('HARQ OFF-ON δεδομένα'!AD7:AD11)*1</x:f>
        <x:v>0</x:v>
      </x:c>
      <x:c r="E8" s="14" t="n">
        <x:f>AVERAGE('HARQ OFF-ON δεδομένα'!AE7:AE11)*1</x:f>
        <x:v>199.99952</x:v>
      </x:c>
      <x:c r="F8" s="14" t="n">
        <x:f>STDEV('HARQ OFF-ON δεδομένα'!AE7:AE11)*1</x:f>
        <x:v>0</x:v>
      </x:c>
      <x:c r="G8" s="14" t="n">
        <x:f>AVERAGE('HARQ OFF-ON δεδομένα'!AF7:AF11)*1</x:f>
        <x:v>3.6424370245999995</x:v>
      </x:c>
      <x:c r="H8" s="14" t="n">
        <x:f>STDEV('HARQ OFF-ON δεδομένα'!AF7:AF11)*1</x:f>
        <x:v>0.0020507269797333852</x:v>
      </x:c>
      <x:c r="I8" s="14" t="n">
        <x:f>AVERAGE('HARQ OFF-ON δεδομένα'!AH7:AH11)*100</x:f>
        <x:v>0</x:v>
      </x:c>
      <x:c r="J8" s="14" t="n">
        <x:f>STDEV('HARQ OFF-ON δεδομένα'!AH7:AH11)*100</x:f>
        <x:v>0</x:v>
      </x:c>
      <x:c r="K8" s="14" t="n">
        <x:f>AVERAGE('HARQ OFF-ON δεδομένα'!AG7:AG11)*1</x:f>
        <x:v>0.0990124452</x:v>
      </x:c>
      <x:c r="L8" s="14" t="n">
        <x:f>STDEV('HARQ OFF-ON δεδομένα'!AG7:AG11)*1</x:f>
        <x:v>0.000036144840699607794</x:v>
      </x:c>
    </x:row>
    <x:row r="9" ht="23" customHeight="1">
      <x:c r="A9" s="4"/>
      <x:c r="B9" s="4"/>
      <x:c r="C9" s="4"/>
      <x:c r="D9" s="4"/>
      <x:c r="E9" s="4"/>
      <x:c r="F9" s="4"/>
      <x:c r="G9" s="4"/>
      <x:c r="H9" s="4"/>
      <x:c r="I9" s="4"/>
      <x:c r="J9" s="4"/>
      <x:c r="K9" s="4"/>
      <x:c r="L9" s="4"/>
    </x:row>
    <x:row r="10" ht="23" customHeight="1">
      <x:c r="A10" s="4"/>
      <x:c r="B10" s="4"/>
      <x:c r="C10" s="4"/>
      <x:c r="D10" s="4"/>
      <x:c r="E10" s="4"/>
      <x:c r="F10" s="4"/>
      <x:c r="G10" s="4"/>
      <x:c r="H10" s="4"/>
      <x:c r="I10" s="4"/>
      <x:c r="J10" s="4"/>
      <x:c r="K10" s="4"/>
      <x:c r="L10" s="4"/>
    </x:row>
    <x:row r="11" ht="23" customHeight="1">
      <x:c r="A11" s="4"/>
      <x:c r="B11" s="4"/>
      <x:c r="C11" s="4"/>
      <x:c r="D11" s="4"/>
      <x:c r="E11" s="4"/>
      <x:c r="F11" s="4"/>
      <x:c r="G11" s="4"/>
      <x:c r="H11" s="4"/>
      <x:c r="I11" s="4"/>
      <x:c r="J11" s="4"/>
      <x:c r="K11" s="4"/>
      <x:c r="L11" s="4"/>
    </x:row>
    <x:row r="12" ht="23" customHeight="1">
      <x:c r="A12" s="4"/>
      <x:c r="B12" s="4"/>
      <x:c r="C12" s="4"/>
      <x:c r="D12" s="4"/>
      <x:c r="E12" s="4"/>
      <x:c r="F12" s="4"/>
      <x:c r="G12" s="4"/>
      <x:c r="H12" s="4"/>
      <x:c r="I12" s="4"/>
      <x:c r="J12" s="4"/>
      <x:c r="K12" s="4"/>
      <x:c r="L12" s="4"/>
    </x:row>
    <x:row r="13" ht="23" customHeight="1">
      <x:c r="A13" s="4" t="str">
        <x:v>Γραφήματα: μέσος όρος ±1 SD (όχι διάστημα εμπιστοσύνης). Μηδενική SD: η μπάρα δεν διακρίνεται.</x:v>
      </x:c>
      <x:c r="B13" s="4"/>
      <x:c r="C13" s="4"/>
      <x:c r="D13" s="4"/>
      <x:c r="E13" s="4"/>
      <x:c r="F13" s="4"/>
      <x:c r="G13" s="4"/>
      <x:c r="H13" s="4"/>
      <x:c r="I13" s="4"/>
      <x:c r="J13" s="4"/>
      <x:c r="K13" s="4"/>
      <x:c r="L13" s="4"/>
    </x:row>
    <x:row r="14" ht="23" customHeight="1">
      <x:c r="A14" s="4"/>
      <x:c r="B14" s="4"/>
      <x:c r="C14" s="4"/>
      <x:c r="D14" s="4"/>
      <x:c r="E14" s="4"/>
      <x:c r="F14" s="4"/>
      <x:c r="G14" s="4"/>
      <x:c r="H14" s="4"/>
      <x:c r="I14" s="4"/>
      <x:c r="J14" s="4"/>
      <x:c r="K14" s="4"/>
      <x:c r="L14" s="4"/>
    </x:row>
    <x:row r="15" ht="23" customHeight="1">
      <x:c r="A15" s="4"/>
      <x:c r="B15" s="4"/>
      <x:c r="C15" s="4"/>
      <x:c r="D15" s="4"/>
      <x:c r="E15" s="4"/>
      <x:c r="F15" s="4"/>
      <x:c r="G15" s="4"/>
      <x:c r="H15" s="4"/>
      <x:c r="I15" s="4"/>
      <x:c r="J15" s="4"/>
      <x:c r="K15" s="4"/>
      <x:c r="L15" s="4"/>
    </x:row>
    <x:row r="16" ht="23" customHeight="1">
      <x:c r="A16" s="4"/>
      <x:c r="B16" s="4"/>
      <x:c r="C16" s="4"/>
      <x:c r="D16" s="4"/>
      <x:c r="E16" s="4"/>
      <x:c r="F16" s="4"/>
      <x:c r="G16" s="4"/>
      <x:c r="H16" s="4"/>
      <x:c r="I16" s="4"/>
      <x:c r="J16" s="4"/>
      <x:c r="K16" s="4"/>
      <x:c r="L16" s="4"/>
    </x:row>
    <x:row r="17" ht="23" customHeight="1">
      <x:c r="A17" s="4"/>
      <x:c r="B17" s="4"/>
      <x:c r="C17" s="4"/>
      <x:c r="D17" s="4"/>
      <x:c r="E17" s="4"/>
      <x:c r="F17" s="4"/>
      <x:c r="G17" s="4"/>
      <x:c r="H17" s="4"/>
      <x:c r="I17" s="4"/>
      <x:c r="J17" s="4"/>
      <x:c r="K17" s="4"/>
      <x:c r="L17" s="4"/>
    </x:row>
    <x:row r="18" ht="23" customHeight="1">
      <x:c r="A18" s="4"/>
      <x:c r="B18" s="4"/>
      <x:c r="C18" s="4"/>
      <x:c r="D18" s="4"/>
      <x:c r="E18" s="4"/>
      <x:c r="F18" s="4"/>
      <x:c r="G18" s="4"/>
      <x:c r="H18" s="4"/>
      <x:c r="I18" s="4"/>
      <x:c r="J18" s="4"/>
      <x:c r="K18" s="4"/>
      <x:c r="L18" s="4"/>
    </x:row>
    <x:row r="19" ht="23" customHeight="1">
      <x:c r="A19" s="4"/>
      <x:c r="B19" s="4"/>
      <x:c r="C19" s="4"/>
      <x:c r="D19" s="4"/>
      <x:c r="E19" s="4"/>
      <x:c r="F19" s="4"/>
      <x:c r="G19" s="4"/>
      <x:c r="H19" s="4"/>
      <x:c r="I19" s="4"/>
      <x:c r="J19" s="4"/>
      <x:c r="K19" s="4"/>
      <x:c r="L19" s="4"/>
    </x:row>
    <x:row r="20" ht="23" customHeight="1">
      <x:c r="A20" s="4"/>
      <x:c r="B20" s="4"/>
      <x:c r="C20" s="4"/>
      <x:c r="D20" s="4"/>
      <x:c r="E20" s="4"/>
      <x:c r="F20" s="4"/>
      <x:c r="G20" s="4"/>
      <x:c r="H20" s="4"/>
      <x:c r="I20" s="4"/>
      <x:c r="J20" s="4"/>
      <x:c r="K20" s="4"/>
      <x:c r="L20" s="4"/>
    </x:row>
    <x:row r="21" ht="23" customHeight="1">
      <x:c r="A21" s="4"/>
      <x:c r="B21" s="4"/>
      <x:c r="C21" s="4"/>
      <x:c r="D21" s="4"/>
      <x:c r="E21" s="4"/>
      <x:c r="F21" s="4"/>
      <x:c r="G21" s="4"/>
      <x:c r="H21" s="4"/>
      <x:c r="I21" s="4"/>
      <x:c r="J21" s="4"/>
      <x:c r="K21" s="4"/>
      <x:c r="L21" s="4"/>
    </x:row>
    <x:row r="22" ht="23" customHeight="1">
      <x:c r="A22" s="4"/>
      <x:c r="B22" s="4"/>
      <x:c r="C22" s="4"/>
      <x:c r="D22" s="4"/>
      <x:c r="E22" s="4"/>
      <x:c r="F22" s="4"/>
      <x:c r="G22" s="4"/>
      <x:c r="H22" s="4"/>
      <x:c r="I22" s="4"/>
      <x:c r="J22" s="4"/>
      <x:c r="K22" s="4"/>
      <x:c r="L22" s="4"/>
    </x:row>
    <x:row r="23" ht="23" customHeight="1">
      <x:c r="A23" s="4"/>
      <x:c r="B23" s="4"/>
      <x:c r="C23" s="4"/>
      <x:c r="D23" s="4"/>
      <x:c r="E23" s="4"/>
      <x:c r="F23" s="4"/>
      <x:c r="G23" s="4"/>
      <x:c r="H23" s="4"/>
      <x:c r="I23" s="4"/>
      <x:c r="J23" s="4"/>
      <x:c r="K23" s="4"/>
      <x:c r="L23" s="4"/>
    </x:row>
    <x:row r="24" ht="23" customHeight="1">
      <x:c r="A24" s="4"/>
      <x:c r="B24" s="4"/>
      <x:c r="C24" s="4"/>
      <x:c r="D24" s="4"/>
      <x:c r="E24" s="4"/>
      <x:c r="F24" s="4"/>
      <x:c r="G24" s="4"/>
      <x:c r="H24" s="4"/>
      <x:c r="I24" s="4"/>
      <x:c r="J24" s="4"/>
      <x:c r="K24" s="4"/>
      <x:c r="L24" s="4"/>
    </x:row>
    <x:row r="25" ht="23" customHeight="1">
      <x:c r="A25" s="4"/>
      <x:c r="B25" s="4"/>
      <x:c r="C25" s="4"/>
      <x:c r="D25" s="4"/>
      <x:c r="E25" s="4"/>
      <x:c r="F25" s="4"/>
      <x:c r="G25" s="4"/>
      <x:c r="H25" s="4"/>
      <x:c r="I25" s="4"/>
      <x:c r="J25" s="4"/>
      <x:c r="K25" s="4"/>
      <x:c r="L25" s="4"/>
    </x:row>
    <x:row r="26" ht="23" customHeight="1">
      <x:c r="A26" s="4"/>
      <x:c r="B26" s="4"/>
      <x:c r="C26" s="4"/>
      <x:c r="D26" s="4"/>
      <x:c r="E26" s="4"/>
      <x:c r="F26" s="4"/>
      <x:c r="G26" s="4"/>
      <x:c r="H26" s="4"/>
      <x:c r="I26" s="4"/>
      <x:c r="J26" s="4"/>
      <x:c r="K26" s="4"/>
      <x:c r="L26" s="4"/>
    </x:row>
    <x:row r="27" ht="23" customHeight="1">
      <x:c r="A27" s="4"/>
      <x:c r="B27" s="4"/>
      <x:c r="C27" s="4"/>
      <x:c r="D27" s="4"/>
      <x:c r="E27" s="4"/>
      <x:c r="F27" s="4"/>
      <x:c r="G27" s="4"/>
      <x:c r="H27" s="4"/>
      <x:c r="I27" s="4"/>
      <x:c r="J27" s="4"/>
      <x:c r="K27" s="4"/>
      <x:c r="L27" s="4"/>
    </x:row>
    <x:row r="28" ht="23" customHeight="1">
      <x:c r="A28" s="4"/>
      <x:c r="B28" s="4"/>
      <x:c r="C28" s="4"/>
      <x:c r="D28" s="4"/>
      <x:c r="E28" s="4"/>
      <x:c r="F28" s="4"/>
      <x:c r="G28" s="4"/>
      <x:c r="H28" s="4"/>
      <x:c r="I28" s="4"/>
      <x:c r="J28" s="4"/>
      <x:c r="K28" s="4"/>
      <x:c r="L28" s="4"/>
    </x:row>
    <x:row r="29" ht="23" customHeight="1">
      <x:c r="A29" s="4"/>
      <x:c r="B29" s="4"/>
      <x:c r="C29" s="4"/>
      <x:c r="D29" s="4"/>
      <x:c r="E29" s="4"/>
      <x:c r="F29" s="4"/>
      <x:c r="G29" s="4"/>
      <x:c r="H29" s="4"/>
      <x:c r="I29" s="4"/>
      <x:c r="J29" s="4"/>
      <x:c r="K29" s="4"/>
      <x:c r="L29" s="4"/>
    </x:row>
    <x:row r="30" ht="23" customHeight="1">
      <x:c r="A30" s="4"/>
      <x:c r="B30" s="4"/>
      <x:c r="C30" s="4"/>
      <x:c r="D30" s="4"/>
      <x:c r="E30" s="4"/>
      <x:c r="F30" s="4"/>
      <x:c r="G30" s="4"/>
      <x:c r="H30" s="4"/>
      <x:c r="I30" s="4"/>
      <x:c r="J30" s="4"/>
      <x:c r="K30" s="4"/>
      <x:c r="L30" s="4"/>
    </x:row>
    <x:row r="31" ht="23" customHeight="1">
      <x:c r="A31" s="4"/>
      <x:c r="B31" s="4"/>
      <x:c r="C31" s="4"/>
      <x:c r="D31" s="4"/>
      <x:c r="E31" s="4"/>
      <x:c r="F31" s="4"/>
      <x:c r="G31" s="4"/>
      <x:c r="H31" s="4"/>
      <x:c r="I31" s="4"/>
      <x:c r="J31" s="4"/>
      <x:c r="K31" s="4"/>
      <x:c r="L31" s="4"/>
    </x:row>
    <x:row r="32" ht="23" customHeight="1">
      <x:c r="A32" s="4"/>
      <x:c r="B32" s="4"/>
      <x:c r="C32" s="4"/>
      <x:c r="D32" s="4"/>
      <x:c r="E32" s="4"/>
      <x:c r="F32" s="4"/>
      <x:c r="G32" s="4"/>
      <x:c r="H32" s="4"/>
      <x:c r="I32" s="4"/>
      <x:c r="J32" s="4"/>
      <x:c r="K32" s="4"/>
      <x:c r="L32" s="4"/>
    </x:row>
    <x:row r="33" ht="23" customHeight="1">
      <x:c r="A33" s="4"/>
      <x:c r="B33" s="4"/>
      <x:c r="C33" s="4"/>
      <x:c r="D33" s="4"/>
      <x:c r="E33" s="4"/>
      <x:c r="F33" s="4"/>
      <x:c r="G33" s="4"/>
      <x:c r="H33" s="4"/>
      <x:c r="I33" s="4"/>
      <x:c r="J33" s="4"/>
      <x:c r="K33" s="4"/>
      <x:c r="L33" s="4"/>
    </x:row>
    <x:row r="34" ht="23" customHeight="1">
      <x:c r="A34" s="4"/>
      <x:c r="B34" s="4"/>
      <x:c r="C34" s="4"/>
      <x:c r="D34" s="4"/>
      <x:c r="E34" s="4"/>
      <x:c r="F34" s="4"/>
      <x:c r="G34" s="4"/>
      <x:c r="H34" s="4"/>
      <x:c r="I34" s="4"/>
      <x:c r="J34" s="4"/>
      <x:c r="K34" s="4"/>
      <x:c r="L34" s="4"/>
    </x:row>
    <x:row r="35" ht="23" customHeight="1">
      <x:c r="A35" s="4"/>
      <x:c r="B35" s="4"/>
      <x:c r="C35" s="4"/>
      <x:c r="D35" s="4"/>
      <x:c r="E35" s="4"/>
      <x:c r="F35" s="4"/>
      <x:c r="G35" s="4"/>
      <x:c r="H35" s="4"/>
      <x:c r="I35" s="4"/>
      <x:c r="J35" s="4"/>
      <x:c r="K35" s="4"/>
      <x:c r="L35" s="4"/>
    </x:row>
    <x:row r="36" ht="23" customHeight="1">
      <x:c r="A36" s="4"/>
      <x:c r="B36" s="4"/>
      <x:c r="C36" s="4"/>
      <x:c r="D36" s="4"/>
      <x:c r="E36" s="4"/>
      <x:c r="F36" s="4"/>
      <x:c r="G36" s="4"/>
      <x:c r="H36" s="4"/>
      <x:c r="I36" s="4"/>
      <x:c r="J36" s="4"/>
      <x:c r="K36" s="4"/>
      <x:c r="L36" s="4"/>
    </x:row>
    <x:row r="37" ht="23" customHeight="1">
      <x:c r="A37" s="4"/>
      <x:c r="B37" s="4"/>
      <x:c r="C37" s="4"/>
      <x:c r="D37" s="4"/>
      <x:c r="E37" s="4"/>
      <x:c r="F37" s="4"/>
      <x:c r="G37" s="4"/>
      <x:c r="H37" s="4"/>
      <x:c r="I37" s="4"/>
      <x:c r="J37" s="4"/>
      <x:c r="K37" s="4"/>
      <x:c r="L37" s="4"/>
    </x:row>
    <x:row r="38" ht="23" customHeight="1">
      <x:c r="A38" s="4"/>
      <x:c r="B38" s="4"/>
      <x:c r="C38" s="4"/>
      <x:c r="D38" s="4"/>
      <x:c r="E38" s="4"/>
      <x:c r="F38" s="4"/>
      <x:c r="G38" s="4"/>
      <x:c r="H38" s="4"/>
      <x:c r="I38" s="4"/>
      <x:c r="J38" s="4"/>
      <x:c r="K38" s="4"/>
      <x:c r="L38" s="4"/>
    </x:row>
    <x:row r="39" ht="23" customHeight="1">
      <x:c r="A39" s="4"/>
      <x:c r="B39" s="4"/>
      <x:c r="C39" s="4"/>
      <x:c r="D39" s="4"/>
      <x:c r="E39" s="4"/>
      <x:c r="F39" s="4"/>
      <x:c r="G39" s="4"/>
      <x:c r="H39" s="4"/>
      <x:c r="I39" s="4"/>
      <x:c r="J39" s="4"/>
      <x:c r="K39" s="4"/>
      <x:c r="L39" s="4"/>
    </x:row>
    <x:row r="40" ht="23" customHeight="1">
      <x:c r="A40" s="4"/>
      <x:c r="B40" s="4"/>
      <x:c r="C40" s="4"/>
      <x:c r="D40" s="4"/>
      <x:c r="E40" s="4"/>
      <x:c r="F40" s="4"/>
      <x:c r="G40" s="4"/>
      <x:c r="H40" s="4"/>
      <x:c r="I40" s="4"/>
      <x:c r="J40" s="4"/>
      <x:c r="K40" s="4"/>
      <x:c r="L40" s="4"/>
    </x:row>
    <x:row r="41" ht="23" customHeight="1">
      <x:c r="A41" s="4"/>
      <x:c r="B41" s="4"/>
      <x:c r="C41" s="4"/>
      <x:c r="D41" s="4"/>
      <x:c r="E41" s="4"/>
      <x:c r="F41" s="4"/>
      <x:c r="G41" s="4"/>
      <x:c r="H41" s="4"/>
      <x:c r="I41" s="4"/>
      <x:c r="J41" s="4"/>
      <x:c r="K41" s="4"/>
      <x:c r="L41" s="4"/>
    </x:row>
    <x:row r="42" ht="23" customHeight="1">
      <x:c r="A42" s="4"/>
      <x:c r="B42" s="4"/>
      <x:c r="C42" s="4"/>
      <x:c r="D42" s="4"/>
      <x:c r="E42" s="4"/>
      <x:c r="F42" s="4"/>
      <x:c r="G42" s="4"/>
      <x:c r="H42" s="4"/>
      <x:c r="I42" s="4"/>
      <x:c r="J42" s="4"/>
      <x:c r="K42" s="4"/>
      <x:c r="L42" s="4"/>
    </x:row>
    <x:row r="43" ht="23" customHeight="1">
      <x:c r="A43" s="4"/>
      <x:c r="B43" s="4"/>
      <x:c r="C43" s="4"/>
      <x:c r="D43" s="4"/>
      <x:c r="E43" s="4"/>
      <x:c r="F43" s="4"/>
      <x:c r="G43" s="4"/>
      <x:c r="H43" s="4"/>
      <x:c r="I43" s="4"/>
      <x:c r="J43" s="4"/>
      <x:c r="K43" s="4"/>
      <x:c r="L43" s="4"/>
    </x:row>
    <x:row r="44" ht="23" customHeight="1">
      <x:c r="A44" s="4"/>
      <x:c r="B44" s="4"/>
      <x:c r="C44" s="4"/>
      <x:c r="D44" s="4"/>
      <x:c r="E44" s="4"/>
      <x:c r="F44" s="4"/>
      <x:c r="G44" s="4"/>
      <x:c r="H44" s="4"/>
      <x:c r="I44" s="4"/>
      <x:c r="J44" s="4"/>
      <x:c r="K44" s="4"/>
      <x:c r="L44" s="4"/>
    </x:row>
    <x:row r="45" ht="23" customHeight="1">
      <x:c r="A45" s="4"/>
      <x:c r="B45" s="4"/>
      <x:c r="C45" s="4"/>
      <x:c r="D45" s="4"/>
      <x:c r="E45" s="4"/>
      <x:c r="F45" s="4"/>
      <x:c r="G45" s="4"/>
      <x:c r="H45" s="4"/>
      <x:c r="I45" s="4"/>
      <x:c r="J45" s="4"/>
      <x:c r="K45" s="4"/>
      <x:c r="L45" s="4"/>
    </x:row>
    <x:row r="46" ht="23" customHeight="1">
      <x:c r="A46" s="4"/>
      <x:c r="B46" s="4"/>
      <x:c r="C46" s="4"/>
      <x:c r="D46" s="4"/>
      <x:c r="E46" s="4"/>
      <x:c r="F46" s="4"/>
      <x:c r="G46" s="4"/>
      <x:c r="H46" s="4"/>
      <x:c r="I46" s="4"/>
      <x:c r="J46" s="4"/>
      <x:c r="K46" s="4"/>
      <x:c r="L46" s="4"/>
    </x:row>
    <x:row r="47" ht="23" customHeight="1">
      <x:c r="A47" s="4"/>
      <x:c r="B47" s="4"/>
      <x:c r="C47" s="4"/>
      <x:c r="D47" s="4"/>
      <x:c r="E47" s="4"/>
      <x:c r="F47" s="4"/>
      <x:c r="G47" s="4"/>
      <x:c r="H47" s="4"/>
      <x:c r="I47" s="4"/>
      <x:c r="J47" s="4"/>
      <x:c r="K47" s="4"/>
      <x:c r="L47" s="4"/>
    </x:row>
    <x:row r="48" ht="23" customHeight="1">
      <x:c r="A48" s="4"/>
      <x:c r="B48" s="4"/>
      <x:c r="C48" s="4"/>
      <x:c r="D48" s="4"/>
      <x:c r="E48" s="4"/>
      <x:c r="F48" s="4"/>
      <x:c r="G48" s="4"/>
      <x:c r="H48" s="4"/>
      <x:c r="I48" s="4"/>
      <x:c r="J48" s="4"/>
      <x:c r="K48" s="4"/>
      <x:c r="L48" s="4"/>
    </x:row>
    <x:row r="49" ht="23" customHeight="1">
      <x:c r="A49" s="4"/>
      <x:c r="B49" s="4"/>
      <x:c r="C49" s="4"/>
      <x:c r="D49" s="4"/>
      <x:c r="E49" s="4"/>
      <x:c r="F49" s="4"/>
      <x:c r="G49" s="4"/>
      <x:c r="H49" s="4"/>
      <x:c r="I49" s="4"/>
      <x:c r="J49" s="4"/>
      <x:c r="K49" s="4"/>
      <x:c r="L49" s="4"/>
    </x:row>
    <x:row r="50" ht="23" customHeight="1">
      <x:c r="A50" s="4"/>
      <x:c r="B50" s="4"/>
      <x:c r="C50" s="4"/>
      <x:c r="D50" s="4"/>
      <x:c r="E50" s="4"/>
      <x:c r="F50" s="4"/>
      <x:c r="G50" s="4"/>
      <x:c r="H50" s="4"/>
      <x:c r="I50" s="4"/>
      <x:c r="J50" s="4"/>
      <x:c r="K50" s="4"/>
      <x:c r="L50" s="4"/>
    </x:row>
    <x:row r="51" ht="23" customHeight="1">
      <x:c r="A51" s="4"/>
      <x:c r="B51" s="4"/>
      <x:c r="C51" s="4"/>
      <x:c r="D51" s="4"/>
      <x:c r="E51" s="4"/>
      <x:c r="F51" s="4"/>
      <x:c r="G51" s="4"/>
      <x:c r="H51" s="4"/>
      <x:c r="I51" s="4"/>
      <x:c r="J51" s="4"/>
      <x:c r="K51" s="4"/>
      <x:c r="L51" s="4"/>
    </x:row>
    <x:row r="52" ht="23" customHeight="1">
      <x:c r="A52" s="4"/>
      <x:c r="B52" s="4"/>
      <x:c r="C52" s="4"/>
      <x:c r="D52" s="4"/>
      <x:c r="E52" s="4"/>
      <x:c r="F52" s="4"/>
      <x:c r="G52" s="4"/>
      <x:c r="H52" s="4"/>
      <x:c r="I52" s="4"/>
      <x:c r="J52" s="4"/>
      <x:c r="K52" s="4"/>
      <x:c r="L52" s="4"/>
    </x:row>
    <x:row r="53" ht="23" customHeight="1">
      <x:c r="A53" s="4"/>
      <x:c r="B53" s="4"/>
      <x:c r="C53" s="4"/>
      <x:c r="D53" s="4"/>
      <x:c r="E53" s="4"/>
      <x:c r="F53" s="4"/>
      <x:c r="G53" s="4"/>
      <x:c r="H53" s="4"/>
      <x:c r="I53" s="4"/>
      <x:c r="J53" s="4"/>
      <x:c r="K53" s="4"/>
      <x:c r="L53" s="4"/>
    </x:row>
    <x:row r="54" ht="23" customHeight="1">
      <x:c r="A54" s="4"/>
      <x:c r="B54" s="4"/>
      <x:c r="C54" s="4"/>
      <x:c r="D54" s="4"/>
      <x:c r="E54" s="4"/>
      <x:c r="F54" s="4"/>
      <x:c r="G54" s="4"/>
      <x:c r="H54" s="4"/>
      <x:c r="I54" s="4"/>
      <x:c r="J54" s="4"/>
      <x:c r="K54" s="4"/>
      <x:c r="L54" s="4"/>
    </x:row>
    <x:row r="55" ht="23" customHeight="1">
      <x:c r="A55" s="4"/>
      <x:c r="B55" s="4"/>
      <x:c r="C55" s="4"/>
      <x:c r="D55" s="4"/>
      <x:c r="E55" s="4"/>
      <x:c r="F55" s="4"/>
      <x:c r="G55" s="4"/>
      <x:c r="H55" s="4"/>
      <x:c r="I55" s="4"/>
      <x:c r="J55" s="4"/>
      <x:c r="K55" s="4"/>
      <x:c r="L55" s="4"/>
    </x:row>
    <x:row r="56" ht="23" customHeight="1">
      <x:c r="A56" s="4"/>
      <x:c r="B56" s="4"/>
      <x:c r="C56" s="4"/>
      <x:c r="D56" s="4"/>
      <x:c r="E56" s="4"/>
      <x:c r="F56" s="4"/>
      <x:c r="G56" s="4"/>
      <x:c r="H56" s="4"/>
      <x:c r="I56" s="4"/>
      <x:c r="J56" s="4"/>
      <x:c r="K56" s="4"/>
      <x:c r="L56" s="4"/>
    </x:row>
    <x:row r="57" ht="23" customHeight="1">
      <x:c r="A57" s="4"/>
      <x:c r="B57" s="4"/>
      <x:c r="C57" s="4"/>
      <x:c r="D57" s="4"/>
      <x:c r="E57" s="4"/>
      <x:c r="F57" s="4"/>
      <x:c r="G57" s="4"/>
      <x:c r="H57" s="4"/>
      <x:c r="I57" s="4"/>
      <x:c r="J57" s="4"/>
      <x:c r="K57" s="4"/>
      <x:c r="L57" s="4"/>
    </x:row>
    <x:row r="58" ht="23" customHeight="1">
      <x:c r="A58" s="4"/>
      <x:c r="B58" s="4"/>
      <x:c r="C58" s="4"/>
      <x:c r="D58" s="4"/>
      <x:c r="E58" s="4"/>
      <x:c r="F58" s="4"/>
      <x:c r="G58" s="4"/>
      <x:c r="H58" s="4"/>
      <x:c r="I58" s="4"/>
      <x:c r="J58" s="4"/>
      <x:c r="K58" s="4"/>
      <x:c r="L58" s="4"/>
    </x:row>
    <x:row r="59" ht="23" customHeight="1">
      <x:c r="A59" s="4"/>
      <x:c r="B59" s="4"/>
      <x:c r="C59" s="4"/>
      <x:c r="D59" s="4"/>
      <x:c r="E59" s="4"/>
      <x:c r="F59" s="4"/>
      <x:c r="G59" s="4"/>
      <x:c r="H59" s="4"/>
      <x:c r="I59" s="4"/>
      <x:c r="J59" s="4"/>
      <x:c r="K59" s="4"/>
      <x:c r="L59" s="4"/>
    </x:row>
    <x:row r="60" ht="23" customHeight="1">
      <x:c r="A60" s="4"/>
      <x:c r="B60" s="4"/>
      <x:c r="C60" s="4"/>
      <x:c r="D60" s="4"/>
      <x:c r="E60" s="4"/>
      <x:c r="F60" s="4"/>
      <x:c r="G60" s="4"/>
      <x:c r="H60" s="4"/>
      <x:c r="I60" s="4"/>
      <x:c r="J60" s="4"/>
      <x:c r="K60" s="4"/>
      <x:c r="L60" s="4"/>
    </x:row>
    <x:row r="61" ht="23" customHeight="1">
      <x:c r="A61" s="4"/>
      <x:c r="B61" s="4"/>
      <x:c r="C61" s="4"/>
      <x:c r="D61" s="4"/>
      <x:c r="E61" s="4"/>
      <x:c r="F61" s="4"/>
      <x:c r="G61" s="4"/>
      <x:c r="H61" s="4"/>
      <x:c r="I61" s="4"/>
      <x:c r="J61" s="4"/>
      <x:c r="K61" s="4"/>
      <x:c r="L61" s="4"/>
    </x:row>
    <x:row r="62" ht="23" customHeight="1">
      <x:c r="A62" s="4"/>
      <x:c r="B62" s="4"/>
      <x:c r="C62" s="4"/>
      <x:c r="D62" s="4"/>
      <x:c r="E62" s="4"/>
      <x:c r="F62" s="4"/>
      <x:c r="G62" s="4"/>
      <x:c r="H62" s="4"/>
      <x:c r="I62" s="4"/>
      <x:c r="J62" s="4"/>
      <x:c r="K62" s="4"/>
      <x:c r="L62" s="4"/>
    </x:row>
    <x:row r="63" ht="23" customHeight="1">
      <x:c r="A63" s="4"/>
      <x:c r="B63" s="4"/>
      <x:c r="C63" s="4"/>
      <x:c r="D63" s="4"/>
      <x:c r="E63" s="4"/>
      <x:c r="F63" s="4"/>
      <x:c r="G63" s="4"/>
      <x:c r="H63" s="4"/>
      <x:c r="I63" s="4"/>
      <x:c r="J63" s="4"/>
      <x:c r="K63" s="4"/>
      <x:c r="L63" s="4"/>
    </x:row>
    <x:row r="64" ht="23" customHeight="1">
      <x:c r="A64" s="4"/>
      <x:c r="B64" s="4"/>
      <x:c r="C64" s="4"/>
      <x:c r="D64" s="4"/>
      <x:c r="E64" s="4"/>
      <x:c r="F64" s="4"/>
      <x:c r="G64" s="4"/>
      <x:c r="H64" s="4"/>
      <x:c r="I64" s="4"/>
      <x:c r="J64" s="4"/>
      <x:c r="K64" s="4"/>
      <x:c r="L64" s="4"/>
    </x:row>
    <x:row r="65" ht="23" customHeight="1">
      <x:c r="A65" s="4"/>
      <x:c r="B65" s="4"/>
      <x:c r="C65" s="4"/>
      <x:c r="D65" s="4"/>
      <x:c r="E65" s="4"/>
      <x:c r="F65" s="4"/>
      <x:c r="G65" s="4"/>
      <x:c r="H65" s="4"/>
      <x:c r="I65" s="4"/>
      <x:c r="J65" s="4"/>
      <x:c r="K65" s="4"/>
      <x:c r="L65" s="4"/>
    </x:row>
    <x:row r="66" ht="23" customHeight="1">
      <x:c r="A66" s="4" t="str">
        <x:v>Σύγκριση OFF (0 retransmissions) / ON (έως 3 retransmissions), με 16 processes. Δεν μετρήθηκε ο πραγματικός αριθμός retransmissions.</x:v>
      </x:c>
      <x:c r="B66" s="4"/>
      <x:c r="C66" s="4"/>
      <x:c r="D66" s="4"/>
      <x:c r="E66" s="4"/>
      <x:c r="F66" s="4"/>
      <x:c r="G66" s="4"/>
      <x:c r="H66" s="4"/>
      <x:c r="I66" s="4"/>
      <x:c r="J66" s="4"/>
      <x:c r="K66" s="4"/>
      <x:c r="L66" s="4"/>
    </x:row>
    <x:row r="67" ht="23" customHeight="1">
      <x:c r="A67" s="4" t="str">
        <x:v>1 UE, 1 gNB, UDP uplink, Friis, χωρίς fading/shadowing. Απόσταση 100 m, UE Tx 10 dBm.</x:v>
      </x:c>
      <x:c r="B67" s="4"/>
      <x:c r="C67" s="4"/>
      <x:c r="D67" s="4"/>
      <x:c r="E67" s="4"/>
      <x:c r="F67" s="4"/>
      <x:c r="G67" s="4"/>
      <x:c r="H67" s="4"/>
      <x:c r="I67" s="4"/>
      <x:c r="J67" s="4"/>
      <x:c r="K67" s="4"/>
      <x:c r="L67" s="4"/>
    </x:row>
    <x:row r="68" ht="23" customHeight="1">
      <x:c r="A68" s="4" t="str">
        <x:v>Bandwidth 100 MHz, load 200 Mbps, numerology 2, TDD DL|UL|UL|UL|, payload 1400 bytes, RLC UM 1048576 bytes.</x:v>
      </x:c>
      <x:c r="B68" s="4"/>
      <x:c r="C68" s="4"/>
      <x:c r="D68" s="4"/>
      <x:c r="E68" s="4"/>
      <x:c r="F68" s="4"/>
      <x:c r="G68" s="4"/>
      <x:c r="H68" s="4"/>
      <x:c r="I68" s="4"/>
      <x:c r="J68" s="4"/>
      <x:c r="K68" s="4"/>
      <x:c r="L68" s="4"/>
    </x:row>
    <x:row r="69" ht="23" customHeight="1">
      <x:c r="A69" s="4" t="str">
        <x:v>Application 1–11 s, drain 2 s. Throughput / goodput = παραληφθέντα bytes ×8 /10 s.</x:v>
      </x:c>
      <x:c r="B69" s="4"/>
      <x:c r="C69" s="4"/>
      <x:c r="D69" s="4"/>
      <x:c r="E69" s="4"/>
      <x:c r="F69" s="4"/>
      <x:c r="G69" s="4"/>
      <x:c r="H69" s="4"/>
      <x:c r="I69" s="4"/>
      <x:c r="J69" s="4"/>
      <x:c r="K69" s="4"/>
      <x:c r="L69" s="4"/>
    </x:row>
    <x:row r="70" ht="23" customHeight="1">
      <x:c r="A70" s="4" t="str">
        <x:v>Το IP throughput περιλαμβάνει headers. Το goodput αφορά payload. Delay/jitter: μόνο παραληφθέντα πακέτα.</x:v>
      </x:c>
      <x:c r="B70" s="4"/>
      <x:c r="C70" s="4"/>
      <x:c r="D70" s="4"/>
      <x:c r="E70" s="4"/>
      <x:c r="F70" s="4"/>
      <x:c r="G70" s="4"/>
      <x:c r="H70" s="4"/>
      <x:c r="I70" s="4"/>
      <x:c r="J70" s="4"/>
      <x:c r="K70" s="4"/>
      <x:c r="L70" s="4"/>
    </x:row>
    <x:row r="71" ht="23" customHeight="1">
      <x:c r="A71" s="4" t="str">
        <x:v>Απώλειες μετά το drain: ενδέχεται να περιλαμβάνουν πακέτα σε ουρά. Δεν έγινε πρόσθετος έλεγχος μεγαλύτερου drain.</x:v>
      </x:c>
      <x:c r="B71" s="4"/>
      <x:c r="C71" s="4"/>
      <x:c r="D71" s="4"/>
      <x:c r="E71" s="4"/>
      <x:c r="F71" s="4"/>
      <x:c r="G71" s="4"/>
      <x:c r="H71" s="4"/>
      <x:c r="I71" s="4"/>
      <x:c r="J71" s="4"/>
      <x:c r="K71" s="4"/>
      <x:c r="L71" s="4"/>
    </x:row>
    <x:row r="72" ht="23" customHeight="1">
      <x:c r="A72" s="4" t="str">
        <x:v>Οι σταθερές ρυθμίσεις ελέγχθηκαν εντός κάθε μελέτης. Οι διαφορετικές μελέτες παραμένουν χωριστές.</x:v>
      </x:c>
      <x:c r="B72" s="4"/>
      <x:c r="C72" s="4"/>
      <x:c r="D72" s="4"/>
      <x:c r="E72" s="4"/>
      <x:c r="F72" s="4"/>
      <x:c r="G72" s="4"/>
      <x:c r="H72" s="4"/>
      <x:c r="I72" s="4"/>
      <x:c r="J72" s="4"/>
      <x:c r="K72" s="4"/>
      <x:c r="L72" s="4"/>
    </x:row>
    <x:row r="73" ht="23" customHeight="1">
      <x:c r="A73" s="4" t="str">
        <x:v>Συχνότητα 3.5 GHz.</x:v>
      </x:c>
      <x:c r="B73" s="4"/>
      <x:c r="C73" s="4"/>
      <x:c r="D73" s="4"/>
      <x:c r="E73" s="4"/>
      <x:c r="F73" s="4"/>
      <x:c r="G73" s="4"/>
      <x:c r="H73" s="4"/>
      <x:c r="I73" s="4"/>
      <x:c r="J73" s="4"/>
      <x:c r="K73" s="4"/>
      <x:c r="L73" s="4"/>
    </x:row>
    <x:row r="74" ht="23" customHeight="1">
      <x:c r="A74" s="4"/>
      <x:c r="B74" s="4"/>
      <x:c r="C74" s="4"/>
      <x:c r="D74" s="4"/>
      <x:c r="E74" s="4"/>
      <x:c r="F74" s="4"/>
      <x:c r="G74" s="4"/>
      <x:c r="H74" s="4"/>
      <x:c r="I74" s="4"/>
      <x:c r="J74" s="4"/>
      <x:c r="K74" s="4"/>
      <x:c r="L74" s="4"/>
    </x:row>
    <x:row r="75" ht="23" customHeight="1">
      <x:c r="A75" s="4"/>
      <x:c r="B75" s="4"/>
      <x:c r="C75" s="4"/>
      <x:c r="D75" s="4"/>
      <x:c r="E75" s="4"/>
      <x:c r="F75" s="4"/>
      <x:c r="G75" s="4"/>
      <x:c r="H75" s="4"/>
      <x:c r="I75" s="4"/>
      <x:c r="J75" s="4"/>
      <x:c r="K75" s="4"/>
      <x:c r="L75" s="4"/>
    </x:row>
    <x:row r="76" ht="23" customHeight="1">
      <x:c r="A76" s="4"/>
      <x:c r="B76" s="4"/>
      <x:c r="C76" s="4"/>
      <x:c r="D76" s="4"/>
      <x:c r="E76" s="4"/>
      <x:c r="F76" s="4"/>
      <x:c r="G76" s="4"/>
      <x:c r="H76" s="4"/>
      <x:c r="I76" s="4"/>
      <x:c r="J76" s="4"/>
      <x:c r="K76" s="4"/>
      <x:c r="L76" s="4"/>
    </x:row>
    <x:row r="77" ht="23" customHeight="1">
      <x:c r="A77" s="4"/>
      <x:c r="B77" s="4"/>
      <x:c r="C77" s="4"/>
      <x:c r="D77" s="4"/>
      <x:c r="E77" s="4"/>
      <x:c r="F77" s="4"/>
      <x:c r="G77" s="4"/>
      <x:c r="H77" s="4"/>
      <x:c r="I77" s="4"/>
      <x:c r="J77" s="4"/>
      <x:c r="K77" s="4"/>
      <x:c r="L77" s="4"/>
    </x:row>
    <x:row r="78" ht="23" customHeight="1">
      <x:c r="A78" s="4"/>
      <x:c r="B78" s="4"/>
      <x:c r="C78" s="4"/>
      <x:c r="D78" s="4"/>
      <x:c r="E78" s="4"/>
      <x:c r="F78" s="4"/>
      <x:c r="G78" s="4"/>
      <x:c r="H78" s="4"/>
      <x:c r="I78" s="4"/>
      <x:c r="J78" s="4"/>
      <x:c r="K78" s="4"/>
      <x:c r="L78" s="4"/>
    </x:row>
    <x:row r="79" ht="23" customHeight="1">
      <x:c r="A79" s="4"/>
      <x:c r="B79" s="4"/>
      <x:c r="C79" s="4"/>
      <x:c r="D79" s="4"/>
      <x:c r="E79" s="4"/>
      <x:c r="F79" s="4"/>
      <x:c r="G79" s="4"/>
      <x:c r="H79" s="4"/>
      <x:c r="I79" s="4"/>
      <x:c r="J79" s="4"/>
      <x:c r="K79" s="4"/>
      <x:c r="L79" s="4"/>
    </x:row>
    <x:row r="80" ht="23" customHeight="1">
      <x:c r="A80" s="4"/>
      <x:c r="B80" s="4"/>
      <x:c r="C80" s="4"/>
      <x:c r="D80" s="4"/>
      <x:c r="E80" s="4"/>
      <x:c r="F80" s="4"/>
      <x:c r="G80" s="4"/>
      <x:c r="H80" s="4"/>
      <x:c r="I80" s="4"/>
      <x:c r="J80" s="4"/>
      <x:c r="K80" s="4"/>
      <x:c r="L80" s="4"/>
    </x:row>
    <x:row r="81" ht="23" customHeight="1">
      <x:c r="A81" s="4"/>
      <x:c r="B81" s="4"/>
      <x:c r="C81" s="4"/>
      <x:c r="D81" s="4"/>
      <x:c r="E81" s="4"/>
      <x:c r="F81" s="4"/>
      <x:c r="G81" s="4"/>
      <x:c r="H81" s="4"/>
      <x:c r="I81" s="4"/>
      <x:c r="J81" s="4"/>
      <x:c r="K81" s="4"/>
      <x:c r="L81" s="4"/>
    </x:row>
    <x:row r="82" ht="23" customHeight="1">
      <x:c r="A82" s="4"/>
      <x:c r="B82" s="4"/>
      <x:c r="C82" s="4"/>
      <x:c r="D82" s="4"/>
      <x:c r="E82" s="4"/>
      <x:c r="F82" s="4"/>
      <x:c r="G82" s="4"/>
      <x:c r="H82" s="4"/>
      <x:c r="I82" s="4"/>
      <x:c r="J82" s="4"/>
      <x:c r="K82" s="4"/>
      <x:c r="L82" s="4"/>
    </x:row>
  </x:sheetData>
  <x:pageMargins left="0.7" right="0.7" top="0.75" bottom="0.75" header="0.3" footer="0.3"/>
  <x:drawing xmlns:r="http://schemas.openxmlformats.org/officeDocument/2006/relationships" r:id="Rd3aefed09d2543b5"/>
</x:worksheet>
</file>

<file path=xl/worksheets/sheet2.xml><?xml version="1.0" encoding="utf-8"?>
<x:worksheet xmlns:x="http://schemas.openxmlformats.org/spreadsheetml/2006/main">
  <x:sheetPr>
    <x:tabColor rgb="FF234B70"/>
  </x:sheetPr>
  <x:sheetViews>
    <x:sheetView showGridLines="0" workbookViewId="0"/>
  </x:sheetViews>
  <x:sheetFormatPr defaultRowHeight="15"/>
  <x:cols>
    <x:col min="1" max="1" width="15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</x:cols>
  <x:sheetData>
    <x:row r="1" ht="23" customHeight="1">
      <x:c r="A1" s="4"/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</x:row>
    <x:row r="2" ht="23" customHeight="1">
      <x:c r="A2" s="11" t="str">
        <x:v>HARQ processes</x:v>
      </x:c>
      <x:c r="B2" s="4"/>
      <x:c r="C2" s="4"/>
      <x:c r="D2" s="4"/>
      <x:c r="E2" s="4"/>
      <x:c r="F2" s="4"/>
      <x:c r="G2" s="4"/>
      <x:c r="H2" s="4"/>
      <x:c r="I2" s="4"/>
      <x:c r="J2" s="4"/>
      <x:c r="K2" s="4"/>
      <x:c r="L2" s="4"/>
    </x:row>
    <x:row r="3" ht="23" customHeight="1">
      <x:c r="A3" s="4"/>
      <x:c r="B3" s="4"/>
      <x:c r="C3" s="4"/>
      <x:c r="D3" s="4"/>
      <x:c r="E3" s="4"/>
      <x:c r="F3" s="4"/>
      <x:c r="G3" s="4"/>
      <x:c r="H3" s="4"/>
      <x:c r="I3" s="4"/>
      <x:c r="J3" s="4"/>
      <x:c r="K3" s="4"/>
      <x:c r="L3" s="4"/>
    </x:row>
    <x:row r="4" ht="23" customHeight="1">
      <x:c r="A4" s="4" t="str">
        <x:v>20 επιτυχείς μετρήσεις. Seed 42, runs 1–5. Μέσος όρος και δειγματική τυπική απόκλιση (SD).</x:v>
      </x:c>
      <x:c r="B4" s="4"/>
      <x:c r="C4" s="4"/>
      <x:c r="D4" s="4"/>
      <x:c r="E4" s="4"/>
      <x:c r="F4" s="4"/>
      <x:c r="G4" s="4"/>
      <x:c r="H4" s="4"/>
      <x:c r="I4" s="4"/>
      <x:c r="J4" s="4"/>
      <x:c r="K4" s="4"/>
      <x:c r="L4" s="4"/>
    </x:row>
    <x:row r="5" ht="23" customHeight="1">
      <x:c r="A5" s="4"/>
      <x:c r="B5" s="4"/>
      <x:c r="C5" s="4"/>
      <x:c r="D5" s="4"/>
      <x:c r="E5" s="4"/>
      <x:c r="F5" s="4"/>
      <x:c r="G5" s="4"/>
      <x:c r="H5" s="4"/>
      <x:c r="I5" s="4"/>
      <x:c r="J5" s="4"/>
      <x:c r="K5" s="4"/>
      <x:c r="L5" s="4"/>
    </x:row>
    <x:row r="6" ht="65" customHeight="1">
      <x:c r="A6" s="9" t="str">
        <x:v>HARQ processes</x:v>
      </x:c>
      <x:c r="B6" s="9" t="str">
        <x:v>n</x:v>
      </x:c>
      <x:c r="C6" s="9" t="str">
        <x:v>IP throughput (Mbps)</x:v>
      </x:c>
      <x:c r="D6" s="9" t="str">
        <x:v>SD (Mbps)</x:v>
      </x:c>
      <x:c r="E6" s="9" t="str">
        <x:v>Goodput (Mbps)</x:v>
      </x:c>
      <x:c r="F6" s="9" t="str">
        <x:v>SD (Mbps)</x:v>
      </x:c>
      <x:c r="G6" s="9" t="str">
        <x:v>Delay (ms)</x:v>
      </x:c>
      <x:c r="H6" s="9" t="str">
        <x:v>SD (ms)</x:v>
      </x:c>
      <x:c r="I6" s="9" t="str">
        <x:v>Loss after drain (%)</x:v>
      </x:c>
      <x:c r="J6" s="9" t="str">
        <x:v>SD (ποσ. μον.)</x:v>
      </x:c>
      <x:c r="K6" s="9" t="str">
        <x:v>Jitter (ms)</x:v>
      </x:c>
      <x:c r="L6" s="9" t="str">
        <x:v>SD (ms)</x:v>
      </x:c>
    </x:row>
    <x:row r="7" ht="23" customHeight="1">
      <x:c r="A7" s="12" t="n">
        <x:f>'HARQ processes δεδομένα'!K2/1</x:f>
        <x:v>2</x:v>
      </x:c>
      <x:c r="B7" s="13" t="n">
        <x:f>COUNT('HARQ processes δεδομένα'!AC2:AC6)</x:f>
        <x:v>5</x:v>
      </x:c>
      <x:c r="C7" s="14" t="n">
        <x:f>AVERAGE('HARQ processes δεδομένα'!AD2:AD6)*1</x:f>
        <x:v>159.3853632</x:v>
      </x:c>
      <x:c r="D7" s="14" t="n">
        <x:f>STDEV('HARQ processes δεδομένα'!AD2:AD6)*1</x:f>
        <x:v>0</x:v>
      </x:c>
      <x:c r="E7" s="14" t="n">
        <x:f>AVERAGE('HARQ processes δεδομένα'!AE2:AE6)*1</x:f>
        <x:v>156.26016</x:v>
      </x:c>
      <x:c r="F7" s="14" t="n">
        <x:f>STDEV('HARQ processes δεδομένα'!AE2:AE6)*1</x:f>
        <x:v>0</x:v>
      </x:c>
      <x:c r="G7" s="14" t="n">
        <x:f>AVERAGE('HARQ processes δεδομένα'!AF2:AF6)*1</x:f>
        <x:v>53.907783542000004</x:v>
      </x:c>
      <x:c r="H7" s="14" t="n">
        <x:f>STDEV('HARQ processes δεδομένα'!AF2:AF6)*1</x:f>
        <x:v>0.00035695379150491827</x:v>
      </x:c>
      <x:c r="I7" s="14" t="n">
        <x:f>AVERAGE('HARQ processes δεδομένα'!AH2:AH6)*100</x:f>
        <x:v>21.8697325</x:v>
      </x:c>
      <x:c r="J7" s="14" t="n">
        <x:f>STDEV('HARQ processes δεδομένα'!AH2:AH6)*100</x:f>
        <x:v>0</x:v>
      </x:c>
      <x:c r="K7" s="14" t="n">
        <x:f>AVERAGE('HARQ processes δεδομένα'!AG2:AG6)*1</x:f>
        <x:v>0.12949809980000002</x:v>
      </x:c>
      <x:c r="L7" s="14" t="n">
        <x:f>STDEV('HARQ processes δεδομένα'!AG2:AG6)*1</x:f>
        <x:v>0.000015325751456290744</x:v>
      </x:c>
    </x:row>
    <x:row r="8" ht="23" customHeight="1">
      <x:c r="A8" s="12" t="n">
        <x:f>'HARQ processes δεδομένα'!K7/1</x:f>
        <x:v>4</x:v>
      </x:c>
      <x:c r="B8" s="13" t="n">
        <x:f>COUNT('HARQ processes δεδομένα'!AC7:AC11)</x:f>
        <x:v>5</x:v>
      </x:c>
      <x:c r="C8" s="14" t="n">
        <x:f>AVERAGE('HARQ processes δεδομένα'!AD7:AD11)*1</x:f>
        <x:v>198.03206976</x:v>
      </x:c>
      <x:c r="D8" s="14" t="n">
        <x:f>STDEV('HARQ processes δεδομένα'!AD7:AD11)*1</x:f>
        <x:v>0.004006551690419368</x:v>
      </x:c>
      <x:c r="E8" s="14" t="n">
        <x:f>AVERAGE('HARQ processes δεδομένα'!AE7:AE11)*1</x:f>
        <x:v>194.14908799999998</x:v>
      </x:c>
      <x:c r="F8" s="14" t="n">
        <x:f>STDEV('HARQ processes δεδομένα'!AE7:AE11)*1</x:f>
        <x:v>0.0039279918533459655</x:v>
      </x:c>
      <x:c r="G8" s="14" t="n">
        <x:f>AVERAGE('HARQ processes δεδομένα'!AF7:AF11)*1</x:f>
        <x:v>41.893101016</x:v>
      </x:c>
      <x:c r="H8" s="14" t="n">
        <x:f>STDEV('HARQ processes δεδομένα'!AF7:AF11)*1</x:f>
        <x:v>0.02124015185610018</x:v>
      </x:c>
      <x:c r="I8" s="14" t="n">
        <x:f>AVERAGE('HARQ processes δεδομένα'!AH7:AH11)*100</x:f>
        <x:v>2.925223</x:v>
      </x:c>
      <x:c r="J8" s="14" t="n">
        <x:f>STDEV('HARQ processes δεδομένα'!AH7:AH11)*100</x:f>
        <x:v>0.00196399592667601</x:v>
      </x:c>
      <x:c r="K8" s="14" t="n">
        <x:f>AVERAGE('HARQ processes δεδομένα'!AG7:AG11)*1</x:f>
        <x:v>0.1027212636</x:v>
      </x:c>
      <x:c r="L8" s="14" t="n">
        <x:f>STDEV('HARQ processes δεδομένα'!AG7:AG11)*1</x:f>
        <x:v>0.000016731434839845568</x:v>
      </x:c>
    </x:row>
    <x:row r="9" ht="23" customHeight="1">
      <x:c r="A9" s="12" t="n">
        <x:f>'HARQ processes δεδομένα'!K12/1</x:f>
        <x:v>8</x:v>
      </x:c>
      <x:c r="B9" s="13" t="n">
        <x:f>COUNT('HARQ processes δεδομένα'!AC12:AC16)</x:f>
        <x:v>5</x:v>
      </x:c>
      <x:c r="C9" s="14" t="n">
        <x:f>AVERAGE('HARQ processes δεδομένα'!AD12:AD16)*1</x:f>
        <x:v>203.9995104</x:v>
      </x:c>
      <x:c r="D9" s="14" t="n">
        <x:f>STDEV('HARQ processes δεδομένα'!AD12:AD16)*1</x:f>
        <x:v>0</x:v>
      </x:c>
      <x:c r="E9" s="14" t="n">
        <x:f>AVERAGE('HARQ processes δεδομένα'!AE12:AE16)*1</x:f>
        <x:v>199.99952</x:v>
      </x:c>
      <x:c r="F9" s="14" t="n">
        <x:f>STDEV('HARQ processes δεδομένα'!AE12:AE16)*1</x:f>
        <x:v>0</x:v>
      </x:c>
      <x:c r="G9" s="14" t="n">
        <x:f>AVERAGE('HARQ processes δεδομένα'!AF12:AF16)*1</x:f>
        <x:v>3.6426636172</x:v>
      </x:c>
      <x:c r="H9" s="14" t="n">
        <x:f>STDEV('HARQ processes δεδομένα'!AF12:AF16)*1</x:f>
        <x:v>0.004433096010703202</x:v>
      </x:c>
      <x:c r="I9" s="14" t="n">
        <x:f>AVERAGE('HARQ processes δεδομένα'!AH12:AH16)*100</x:f>
        <x:v>0</x:v>
      </x:c>
      <x:c r="J9" s="14" t="n">
        <x:f>STDEV('HARQ processes δεδομένα'!AH12:AH16)*100</x:f>
        <x:v>0</x:v>
      </x:c>
      <x:c r="K9" s="14" t="n">
        <x:f>AVERAGE('HARQ processes δεδομένα'!AG12:AG16)*1</x:f>
        <x:v>0.09900372660000001</x:v>
      </x:c>
      <x:c r="L9" s="14" t="n">
        <x:f>STDEV('HARQ processes δεδομένα'!AG12:AG16)*1</x:f>
        <x:v>0.00007203673189630565</x:v>
      </x:c>
    </x:row>
    <x:row r="10" ht="23" customHeight="1">
      <x:c r="A10" s="12" t="n">
        <x:f>'HARQ processes δεδομένα'!K17/1</x:f>
        <x:v>16</x:v>
      </x:c>
      <x:c r="B10" s="13" t="n">
        <x:f>COUNT('HARQ processes δεδομένα'!AC17:AC21)</x:f>
        <x:v>5</x:v>
      </x:c>
      <x:c r="C10" s="14" t="n">
        <x:f>AVERAGE('HARQ processes δεδομένα'!AD17:AD21)*1</x:f>
        <x:v>203.9995104</x:v>
      </x:c>
      <x:c r="D10" s="14" t="n">
        <x:f>STDEV('HARQ processes δεδομένα'!AD17:AD21)*1</x:f>
        <x:v>0</x:v>
      </x:c>
      <x:c r="E10" s="14" t="n">
        <x:f>AVERAGE('HARQ processes δεδομένα'!AE17:AE21)*1</x:f>
        <x:v>199.99952</x:v>
      </x:c>
      <x:c r="F10" s="14" t="n">
        <x:f>STDEV('HARQ processes δεδομένα'!AE17:AE21)*1</x:f>
        <x:v>0</x:v>
      </x:c>
      <x:c r="G10" s="14" t="n">
        <x:f>AVERAGE('HARQ processes δεδομένα'!AF17:AF21)*1</x:f>
        <x:v>3.6424370245999995</x:v>
      </x:c>
      <x:c r="H10" s="14" t="n">
        <x:f>STDEV('HARQ processes δεδομένα'!AF17:AF21)*1</x:f>
        <x:v>0.0020507269797333852</x:v>
      </x:c>
      <x:c r="I10" s="14" t="n">
        <x:f>AVERAGE('HARQ processes δεδομένα'!AH17:AH21)*100</x:f>
        <x:v>0</x:v>
      </x:c>
      <x:c r="J10" s="14" t="n">
        <x:f>STDEV('HARQ processes δεδομένα'!AH17:AH21)*100</x:f>
        <x:v>0</x:v>
      </x:c>
      <x:c r="K10" s="14" t="n">
        <x:f>AVERAGE('HARQ processes δεδομένα'!AG17:AG21)*1</x:f>
        <x:v>0.0990124452</x:v>
      </x:c>
      <x:c r="L10" s="14" t="n">
        <x:f>STDEV('HARQ processes δεδομένα'!AG17:AG21)*1</x:f>
        <x:v>0.000036144840699607794</x:v>
      </x:c>
    </x:row>
    <x:row r="11" ht="23" customHeight="1">
      <x:c r="A11" s="4"/>
      <x:c r="B11" s="4"/>
      <x:c r="C11" s="4"/>
      <x:c r="D11" s="4"/>
      <x:c r="E11" s="4"/>
      <x:c r="F11" s="4"/>
      <x:c r="G11" s="4"/>
      <x:c r="H11" s="4"/>
      <x:c r="I11" s="4"/>
      <x:c r="J11" s="4"/>
      <x:c r="K11" s="4"/>
      <x:c r="L11" s="4"/>
    </x:row>
    <x:row r="12" ht="23" customHeight="1">
      <x:c r="A12" s="4"/>
      <x:c r="B12" s="4"/>
      <x:c r="C12" s="4"/>
      <x:c r="D12" s="4"/>
      <x:c r="E12" s="4"/>
      <x:c r="F12" s="4"/>
      <x:c r="G12" s="4"/>
      <x:c r="H12" s="4"/>
      <x:c r="I12" s="4"/>
      <x:c r="J12" s="4"/>
      <x:c r="K12" s="4"/>
      <x:c r="L12" s="4"/>
    </x:row>
    <x:row r="13" ht="23" customHeight="1">
      <x:c r="A13" s="4" t="str">
        <x:v>Γραφήματα: μέσος όρος ±1 SD (όχι διάστημα εμπιστοσύνης). Μηδενική SD: η μπάρα δεν διακρίνεται.</x:v>
      </x:c>
      <x:c r="B13" s="4"/>
      <x:c r="C13" s="4"/>
      <x:c r="D13" s="4"/>
      <x:c r="E13" s="4"/>
      <x:c r="F13" s="4"/>
      <x:c r="G13" s="4"/>
      <x:c r="H13" s="4"/>
      <x:c r="I13" s="4"/>
      <x:c r="J13" s="4"/>
      <x:c r="K13" s="4"/>
      <x:c r="L13" s="4"/>
    </x:row>
    <x:row r="14" ht="23" customHeight="1">
      <x:c r="A14" s="4"/>
      <x:c r="B14" s="4"/>
      <x:c r="C14" s="4"/>
      <x:c r="D14" s="4"/>
      <x:c r="E14" s="4"/>
      <x:c r="F14" s="4"/>
      <x:c r="G14" s="4"/>
      <x:c r="H14" s="4"/>
      <x:c r="I14" s="4"/>
      <x:c r="J14" s="4"/>
      <x:c r="K14" s="4"/>
      <x:c r="L14" s="4"/>
    </x:row>
    <x:row r="15" ht="23" customHeight="1">
      <x:c r="A15" s="4"/>
      <x:c r="B15" s="4"/>
      <x:c r="C15" s="4"/>
      <x:c r="D15" s="4"/>
      <x:c r="E15" s="4"/>
      <x:c r="F15" s="4"/>
      <x:c r="G15" s="4"/>
      <x:c r="H15" s="4"/>
      <x:c r="I15" s="4"/>
      <x:c r="J15" s="4"/>
      <x:c r="K15" s="4"/>
      <x:c r="L15" s="4"/>
    </x:row>
    <x:row r="16" ht="23" customHeight="1">
      <x:c r="A16" s="4"/>
      <x:c r="B16" s="4"/>
      <x:c r="C16" s="4"/>
      <x:c r="D16" s="4"/>
      <x:c r="E16" s="4"/>
      <x:c r="F16" s="4"/>
      <x:c r="G16" s="4"/>
      <x:c r="H16" s="4"/>
      <x:c r="I16" s="4"/>
      <x:c r="J16" s="4"/>
      <x:c r="K16" s="4"/>
      <x:c r="L16" s="4"/>
    </x:row>
    <x:row r="17" ht="23" customHeight="1">
      <x:c r="A17" s="4"/>
      <x:c r="B17" s="4"/>
      <x:c r="C17" s="4"/>
      <x:c r="D17" s="4"/>
      <x:c r="E17" s="4"/>
      <x:c r="F17" s="4"/>
      <x:c r="G17" s="4"/>
      <x:c r="H17" s="4"/>
      <x:c r="I17" s="4"/>
      <x:c r="J17" s="4"/>
      <x:c r="K17" s="4"/>
      <x:c r="L17" s="4"/>
    </x:row>
    <x:row r="18" ht="23" customHeight="1">
      <x:c r="A18" s="4"/>
      <x:c r="B18" s="4"/>
      <x:c r="C18" s="4"/>
      <x:c r="D18" s="4"/>
      <x:c r="E18" s="4"/>
      <x:c r="F18" s="4"/>
      <x:c r="G18" s="4"/>
      <x:c r="H18" s="4"/>
      <x:c r="I18" s="4"/>
      <x:c r="J18" s="4"/>
      <x:c r="K18" s="4"/>
      <x:c r="L18" s="4"/>
    </x:row>
    <x:row r="19" ht="23" customHeight="1">
      <x:c r="A19" s="4"/>
      <x:c r="B19" s="4"/>
      <x:c r="C19" s="4"/>
      <x:c r="D19" s="4"/>
      <x:c r="E19" s="4"/>
      <x:c r="F19" s="4"/>
      <x:c r="G19" s="4"/>
      <x:c r="H19" s="4"/>
      <x:c r="I19" s="4"/>
      <x:c r="J19" s="4"/>
      <x:c r="K19" s="4"/>
      <x:c r="L19" s="4"/>
    </x:row>
    <x:row r="20" ht="23" customHeight="1">
      <x:c r="A20" s="4"/>
      <x:c r="B20" s="4"/>
      <x:c r="C20" s="4"/>
      <x:c r="D20" s="4"/>
      <x:c r="E20" s="4"/>
      <x:c r="F20" s="4"/>
      <x:c r="G20" s="4"/>
      <x:c r="H20" s="4"/>
      <x:c r="I20" s="4"/>
      <x:c r="J20" s="4"/>
      <x:c r="K20" s="4"/>
      <x:c r="L20" s="4"/>
    </x:row>
    <x:row r="21" ht="23" customHeight="1">
      <x:c r="A21" s="4"/>
      <x:c r="B21" s="4"/>
      <x:c r="C21" s="4"/>
      <x:c r="D21" s="4"/>
      <x:c r="E21" s="4"/>
      <x:c r="F21" s="4"/>
      <x:c r="G21" s="4"/>
      <x:c r="H21" s="4"/>
      <x:c r="I21" s="4"/>
      <x:c r="J21" s="4"/>
      <x:c r="K21" s="4"/>
      <x:c r="L21" s="4"/>
    </x:row>
    <x:row r="22" ht="23" customHeight="1">
      <x:c r="A22" s="4"/>
      <x:c r="B22" s="4"/>
      <x:c r="C22" s="4"/>
      <x:c r="D22" s="4"/>
      <x:c r="E22" s="4"/>
      <x:c r="F22" s="4"/>
      <x:c r="G22" s="4"/>
      <x:c r="H22" s="4"/>
      <x:c r="I22" s="4"/>
      <x:c r="J22" s="4"/>
      <x:c r="K22" s="4"/>
      <x:c r="L22" s="4"/>
    </x:row>
    <x:row r="23" ht="23" customHeight="1">
      <x:c r="A23" s="4"/>
      <x:c r="B23" s="4"/>
      <x:c r="C23" s="4"/>
      <x:c r="D23" s="4"/>
      <x:c r="E23" s="4"/>
      <x:c r="F23" s="4"/>
      <x:c r="G23" s="4"/>
      <x:c r="H23" s="4"/>
      <x:c r="I23" s="4"/>
      <x:c r="J23" s="4"/>
      <x:c r="K23" s="4"/>
      <x:c r="L23" s="4"/>
    </x:row>
    <x:row r="24" ht="23" customHeight="1">
      <x:c r="A24" s="4"/>
      <x:c r="B24" s="4"/>
      <x:c r="C24" s="4"/>
      <x:c r="D24" s="4"/>
      <x:c r="E24" s="4"/>
      <x:c r="F24" s="4"/>
      <x:c r="G24" s="4"/>
      <x:c r="H24" s="4"/>
      <x:c r="I24" s="4"/>
      <x:c r="J24" s="4"/>
      <x:c r="K24" s="4"/>
      <x:c r="L24" s="4"/>
    </x:row>
    <x:row r="25" ht="23" customHeight="1">
      <x:c r="A25" s="4"/>
      <x:c r="B25" s="4"/>
      <x:c r="C25" s="4"/>
      <x:c r="D25" s="4"/>
      <x:c r="E25" s="4"/>
      <x:c r="F25" s="4"/>
      <x:c r="G25" s="4"/>
      <x:c r="H25" s="4"/>
      <x:c r="I25" s="4"/>
      <x:c r="J25" s="4"/>
      <x:c r="K25" s="4"/>
      <x:c r="L25" s="4"/>
    </x:row>
    <x:row r="26" ht="23" customHeight="1">
      <x:c r="A26" s="4"/>
      <x:c r="B26" s="4"/>
      <x:c r="C26" s="4"/>
      <x:c r="D26" s="4"/>
      <x:c r="E26" s="4"/>
      <x:c r="F26" s="4"/>
      <x:c r="G26" s="4"/>
      <x:c r="H26" s="4"/>
      <x:c r="I26" s="4"/>
      <x:c r="J26" s="4"/>
      <x:c r="K26" s="4"/>
      <x:c r="L26" s="4"/>
    </x:row>
    <x:row r="27" ht="23" customHeight="1">
      <x:c r="A27" s="4"/>
      <x:c r="B27" s="4"/>
      <x:c r="C27" s="4"/>
      <x:c r="D27" s="4"/>
      <x:c r="E27" s="4"/>
      <x:c r="F27" s="4"/>
      <x:c r="G27" s="4"/>
      <x:c r="H27" s="4"/>
      <x:c r="I27" s="4"/>
      <x:c r="J27" s="4"/>
      <x:c r="K27" s="4"/>
      <x:c r="L27" s="4"/>
    </x:row>
    <x:row r="28" ht="23" customHeight="1">
      <x:c r="A28" s="4"/>
      <x:c r="B28" s="4"/>
      <x:c r="C28" s="4"/>
      <x:c r="D28" s="4"/>
      <x:c r="E28" s="4"/>
      <x:c r="F28" s="4"/>
      <x:c r="G28" s="4"/>
      <x:c r="H28" s="4"/>
      <x:c r="I28" s="4"/>
      <x:c r="J28" s="4"/>
      <x:c r="K28" s="4"/>
      <x:c r="L28" s="4"/>
    </x:row>
    <x:row r="29" ht="23" customHeight="1">
      <x:c r="A29" s="4"/>
      <x:c r="B29" s="4"/>
      <x:c r="C29" s="4"/>
      <x:c r="D29" s="4"/>
      <x:c r="E29" s="4"/>
      <x:c r="F29" s="4"/>
      <x:c r="G29" s="4"/>
      <x:c r="H29" s="4"/>
      <x:c r="I29" s="4"/>
      <x:c r="J29" s="4"/>
      <x:c r="K29" s="4"/>
      <x:c r="L29" s="4"/>
    </x:row>
    <x:row r="30" ht="23" customHeight="1">
      <x:c r="A30" s="4"/>
      <x:c r="B30" s="4"/>
      <x:c r="C30" s="4"/>
      <x:c r="D30" s="4"/>
      <x:c r="E30" s="4"/>
      <x:c r="F30" s="4"/>
      <x:c r="G30" s="4"/>
      <x:c r="H30" s="4"/>
      <x:c r="I30" s="4"/>
      <x:c r="J30" s="4"/>
      <x:c r="K30" s="4"/>
      <x:c r="L30" s="4"/>
    </x:row>
    <x:row r="31" ht="23" customHeight="1">
      <x:c r="A31" s="4"/>
      <x:c r="B31" s="4"/>
      <x:c r="C31" s="4"/>
      <x:c r="D31" s="4"/>
      <x:c r="E31" s="4"/>
      <x:c r="F31" s="4"/>
      <x:c r="G31" s="4"/>
      <x:c r="H31" s="4"/>
      <x:c r="I31" s="4"/>
      <x:c r="J31" s="4"/>
      <x:c r="K31" s="4"/>
      <x:c r="L31" s="4"/>
    </x:row>
    <x:row r="32" ht="23" customHeight="1">
      <x:c r="A32" s="4"/>
      <x:c r="B32" s="4"/>
      <x:c r="C32" s="4"/>
      <x:c r="D32" s="4"/>
      <x:c r="E32" s="4"/>
      <x:c r="F32" s="4"/>
      <x:c r="G32" s="4"/>
      <x:c r="H32" s="4"/>
      <x:c r="I32" s="4"/>
      <x:c r="J32" s="4"/>
      <x:c r="K32" s="4"/>
      <x:c r="L32" s="4"/>
    </x:row>
    <x:row r="33" ht="23" customHeight="1">
      <x:c r="A33" s="4"/>
      <x:c r="B33" s="4"/>
      <x:c r="C33" s="4"/>
      <x:c r="D33" s="4"/>
      <x:c r="E33" s="4"/>
      <x:c r="F33" s="4"/>
      <x:c r="G33" s="4"/>
      <x:c r="H33" s="4"/>
      <x:c r="I33" s="4"/>
      <x:c r="J33" s="4"/>
      <x:c r="K33" s="4"/>
      <x:c r="L33" s="4"/>
    </x:row>
    <x:row r="34" ht="23" customHeight="1">
      <x:c r="A34" s="4"/>
      <x:c r="B34" s="4"/>
      <x:c r="C34" s="4"/>
      <x:c r="D34" s="4"/>
      <x:c r="E34" s="4"/>
      <x:c r="F34" s="4"/>
      <x:c r="G34" s="4"/>
      <x:c r="H34" s="4"/>
      <x:c r="I34" s="4"/>
      <x:c r="J34" s="4"/>
      <x:c r="K34" s="4"/>
      <x:c r="L34" s="4"/>
    </x:row>
    <x:row r="35" ht="23" customHeight="1">
      <x:c r="A35" s="4"/>
      <x:c r="B35" s="4"/>
      <x:c r="C35" s="4"/>
      <x:c r="D35" s="4"/>
      <x:c r="E35" s="4"/>
      <x:c r="F35" s="4"/>
      <x:c r="G35" s="4"/>
      <x:c r="H35" s="4"/>
      <x:c r="I35" s="4"/>
      <x:c r="J35" s="4"/>
      <x:c r="K35" s="4"/>
      <x:c r="L35" s="4"/>
    </x:row>
    <x:row r="36" ht="23" customHeight="1">
      <x:c r="A36" s="4"/>
      <x:c r="B36" s="4"/>
      <x:c r="C36" s="4"/>
      <x:c r="D36" s="4"/>
      <x:c r="E36" s="4"/>
      <x:c r="F36" s="4"/>
      <x:c r="G36" s="4"/>
      <x:c r="H36" s="4"/>
      <x:c r="I36" s="4"/>
      <x:c r="J36" s="4"/>
      <x:c r="K36" s="4"/>
      <x:c r="L36" s="4"/>
    </x:row>
    <x:row r="37" ht="23" customHeight="1">
      <x:c r="A37" s="4"/>
      <x:c r="B37" s="4"/>
      <x:c r="C37" s="4"/>
      <x:c r="D37" s="4"/>
      <x:c r="E37" s="4"/>
      <x:c r="F37" s="4"/>
      <x:c r="G37" s="4"/>
      <x:c r="H37" s="4"/>
      <x:c r="I37" s="4"/>
      <x:c r="J37" s="4"/>
      <x:c r="K37" s="4"/>
      <x:c r="L37" s="4"/>
    </x:row>
    <x:row r="38" ht="23" customHeight="1">
      <x:c r="A38" s="4"/>
      <x:c r="B38" s="4"/>
      <x:c r="C38" s="4"/>
      <x:c r="D38" s="4"/>
      <x:c r="E38" s="4"/>
      <x:c r="F38" s="4"/>
      <x:c r="G38" s="4"/>
      <x:c r="H38" s="4"/>
      <x:c r="I38" s="4"/>
      <x:c r="J38" s="4"/>
      <x:c r="K38" s="4"/>
      <x:c r="L38" s="4"/>
    </x:row>
    <x:row r="39" ht="23" customHeight="1">
      <x:c r="A39" s="4"/>
      <x:c r="B39" s="4"/>
      <x:c r="C39" s="4"/>
      <x:c r="D39" s="4"/>
      <x:c r="E39" s="4"/>
      <x:c r="F39" s="4"/>
      <x:c r="G39" s="4"/>
      <x:c r="H39" s="4"/>
      <x:c r="I39" s="4"/>
      <x:c r="J39" s="4"/>
      <x:c r="K39" s="4"/>
      <x:c r="L39" s="4"/>
    </x:row>
    <x:row r="40" ht="23" customHeight="1">
      <x:c r="A40" s="4"/>
      <x:c r="B40" s="4"/>
      <x:c r="C40" s="4"/>
      <x:c r="D40" s="4"/>
      <x:c r="E40" s="4"/>
      <x:c r="F40" s="4"/>
      <x:c r="G40" s="4"/>
      <x:c r="H40" s="4"/>
      <x:c r="I40" s="4"/>
      <x:c r="J40" s="4"/>
      <x:c r="K40" s="4"/>
      <x:c r="L40" s="4"/>
    </x:row>
    <x:row r="41" ht="23" customHeight="1">
      <x:c r="A41" s="4"/>
      <x:c r="B41" s="4"/>
      <x:c r="C41" s="4"/>
      <x:c r="D41" s="4"/>
      <x:c r="E41" s="4"/>
      <x:c r="F41" s="4"/>
      <x:c r="G41" s="4"/>
      <x:c r="H41" s="4"/>
      <x:c r="I41" s="4"/>
      <x:c r="J41" s="4"/>
      <x:c r="K41" s="4"/>
      <x:c r="L41" s="4"/>
    </x:row>
    <x:row r="42" ht="23" customHeight="1">
      <x:c r="A42" s="4"/>
      <x:c r="B42" s="4"/>
      <x:c r="C42" s="4"/>
      <x:c r="D42" s="4"/>
      <x:c r="E42" s="4"/>
      <x:c r="F42" s="4"/>
      <x:c r="G42" s="4"/>
      <x:c r="H42" s="4"/>
      <x:c r="I42" s="4"/>
      <x:c r="J42" s="4"/>
      <x:c r="K42" s="4"/>
      <x:c r="L42" s="4"/>
    </x:row>
    <x:row r="43" ht="23" customHeight="1">
      <x:c r="A43" s="4"/>
      <x:c r="B43" s="4"/>
      <x:c r="C43" s="4"/>
      <x:c r="D43" s="4"/>
      <x:c r="E43" s="4"/>
      <x:c r="F43" s="4"/>
      <x:c r="G43" s="4"/>
      <x:c r="H43" s="4"/>
      <x:c r="I43" s="4"/>
      <x:c r="J43" s="4"/>
      <x:c r="K43" s="4"/>
      <x:c r="L43" s="4"/>
    </x:row>
    <x:row r="44" ht="23" customHeight="1">
      <x:c r="A44" s="4"/>
      <x:c r="B44" s="4"/>
      <x:c r="C44" s="4"/>
      <x:c r="D44" s="4"/>
      <x:c r="E44" s="4"/>
      <x:c r="F44" s="4"/>
      <x:c r="G44" s="4"/>
      <x:c r="H44" s="4"/>
      <x:c r="I44" s="4"/>
      <x:c r="J44" s="4"/>
      <x:c r="K44" s="4"/>
      <x:c r="L44" s="4"/>
    </x:row>
    <x:row r="45" ht="23" customHeight="1">
      <x:c r="A45" s="4"/>
      <x:c r="B45" s="4"/>
      <x:c r="C45" s="4"/>
      <x:c r="D45" s="4"/>
      <x:c r="E45" s="4"/>
      <x:c r="F45" s="4"/>
      <x:c r="G45" s="4"/>
      <x:c r="H45" s="4"/>
      <x:c r="I45" s="4"/>
      <x:c r="J45" s="4"/>
      <x:c r="K45" s="4"/>
      <x:c r="L45" s="4"/>
    </x:row>
    <x:row r="46" ht="23" customHeight="1">
      <x:c r="A46" s="4"/>
      <x:c r="B46" s="4"/>
      <x:c r="C46" s="4"/>
      <x:c r="D46" s="4"/>
      <x:c r="E46" s="4"/>
      <x:c r="F46" s="4"/>
      <x:c r="G46" s="4"/>
      <x:c r="H46" s="4"/>
      <x:c r="I46" s="4"/>
      <x:c r="J46" s="4"/>
      <x:c r="K46" s="4"/>
      <x:c r="L46" s="4"/>
    </x:row>
    <x:row r="47" ht="23" customHeight="1">
      <x:c r="A47" s="4"/>
      <x:c r="B47" s="4"/>
      <x:c r="C47" s="4"/>
      <x:c r="D47" s="4"/>
      <x:c r="E47" s="4"/>
      <x:c r="F47" s="4"/>
      <x:c r="G47" s="4"/>
      <x:c r="H47" s="4"/>
      <x:c r="I47" s="4"/>
      <x:c r="J47" s="4"/>
      <x:c r="K47" s="4"/>
      <x:c r="L47" s="4"/>
    </x:row>
    <x:row r="48" ht="23" customHeight="1">
      <x:c r="A48" s="4"/>
      <x:c r="B48" s="4"/>
      <x:c r="C48" s="4"/>
      <x:c r="D48" s="4"/>
      <x:c r="E48" s="4"/>
      <x:c r="F48" s="4"/>
      <x:c r="G48" s="4"/>
      <x:c r="H48" s="4"/>
      <x:c r="I48" s="4"/>
      <x:c r="J48" s="4"/>
      <x:c r="K48" s="4"/>
      <x:c r="L48" s="4"/>
    </x:row>
    <x:row r="49" ht="23" customHeight="1">
      <x:c r="A49" s="4"/>
      <x:c r="B49" s="4"/>
      <x:c r="C49" s="4"/>
      <x:c r="D49" s="4"/>
      <x:c r="E49" s="4"/>
      <x:c r="F49" s="4"/>
      <x:c r="G49" s="4"/>
      <x:c r="H49" s="4"/>
      <x:c r="I49" s="4"/>
      <x:c r="J49" s="4"/>
      <x:c r="K49" s="4"/>
      <x:c r="L49" s="4"/>
    </x:row>
    <x:row r="50" ht="23" customHeight="1">
      <x:c r="A50" s="4"/>
      <x:c r="B50" s="4"/>
      <x:c r="C50" s="4"/>
      <x:c r="D50" s="4"/>
      <x:c r="E50" s="4"/>
      <x:c r="F50" s="4"/>
      <x:c r="G50" s="4"/>
      <x:c r="H50" s="4"/>
      <x:c r="I50" s="4"/>
      <x:c r="J50" s="4"/>
      <x:c r="K50" s="4"/>
      <x:c r="L50" s="4"/>
    </x:row>
    <x:row r="51" ht="23" customHeight="1">
      <x:c r="A51" s="4"/>
      <x:c r="B51" s="4"/>
      <x:c r="C51" s="4"/>
      <x:c r="D51" s="4"/>
      <x:c r="E51" s="4"/>
      <x:c r="F51" s="4"/>
      <x:c r="G51" s="4"/>
      <x:c r="H51" s="4"/>
      <x:c r="I51" s="4"/>
      <x:c r="J51" s="4"/>
      <x:c r="K51" s="4"/>
      <x:c r="L51" s="4"/>
    </x:row>
    <x:row r="52" ht="23" customHeight="1">
      <x:c r="A52" s="4"/>
      <x:c r="B52" s="4"/>
      <x:c r="C52" s="4"/>
      <x:c r="D52" s="4"/>
      <x:c r="E52" s="4"/>
      <x:c r="F52" s="4"/>
      <x:c r="G52" s="4"/>
      <x:c r="H52" s="4"/>
      <x:c r="I52" s="4"/>
      <x:c r="J52" s="4"/>
      <x:c r="K52" s="4"/>
      <x:c r="L52" s="4"/>
    </x:row>
    <x:row r="53" ht="23" customHeight="1">
      <x:c r="A53" s="4"/>
      <x:c r="B53" s="4"/>
      <x:c r="C53" s="4"/>
      <x:c r="D53" s="4"/>
      <x:c r="E53" s="4"/>
      <x:c r="F53" s="4"/>
      <x:c r="G53" s="4"/>
      <x:c r="H53" s="4"/>
      <x:c r="I53" s="4"/>
      <x:c r="J53" s="4"/>
      <x:c r="K53" s="4"/>
      <x:c r="L53" s="4"/>
    </x:row>
    <x:row r="54" ht="23" customHeight="1">
      <x:c r="A54" s="4"/>
      <x:c r="B54" s="4"/>
      <x:c r="C54" s="4"/>
      <x:c r="D54" s="4"/>
      <x:c r="E54" s="4"/>
      <x:c r="F54" s="4"/>
      <x:c r="G54" s="4"/>
      <x:c r="H54" s="4"/>
      <x:c r="I54" s="4"/>
      <x:c r="J54" s="4"/>
      <x:c r="K54" s="4"/>
      <x:c r="L54" s="4"/>
    </x:row>
    <x:row r="55" ht="23" customHeight="1">
      <x:c r="A55" s="4"/>
      <x:c r="B55" s="4"/>
      <x:c r="C55" s="4"/>
      <x:c r="D55" s="4"/>
      <x:c r="E55" s="4"/>
      <x:c r="F55" s="4"/>
      <x:c r="G55" s="4"/>
      <x:c r="H55" s="4"/>
      <x:c r="I55" s="4"/>
      <x:c r="J55" s="4"/>
      <x:c r="K55" s="4"/>
      <x:c r="L55" s="4"/>
    </x:row>
    <x:row r="56" ht="23" customHeight="1">
      <x:c r="A56" s="4"/>
      <x:c r="B56" s="4"/>
      <x:c r="C56" s="4"/>
      <x:c r="D56" s="4"/>
      <x:c r="E56" s="4"/>
      <x:c r="F56" s="4"/>
      <x:c r="G56" s="4"/>
      <x:c r="H56" s="4"/>
      <x:c r="I56" s="4"/>
      <x:c r="J56" s="4"/>
      <x:c r="K56" s="4"/>
      <x:c r="L56" s="4"/>
    </x:row>
    <x:row r="57" ht="23" customHeight="1">
      <x:c r="A57" s="4"/>
      <x:c r="B57" s="4"/>
      <x:c r="C57" s="4"/>
      <x:c r="D57" s="4"/>
      <x:c r="E57" s="4"/>
      <x:c r="F57" s="4"/>
      <x:c r="G57" s="4"/>
      <x:c r="H57" s="4"/>
      <x:c r="I57" s="4"/>
      <x:c r="J57" s="4"/>
      <x:c r="K57" s="4"/>
      <x:c r="L57" s="4"/>
    </x:row>
    <x:row r="58" ht="23" customHeight="1">
      <x:c r="A58" s="4"/>
      <x:c r="B58" s="4"/>
      <x:c r="C58" s="4"/>
      <x:c r="D58" s="4"/>
      <x:c r="E58" s="4"/>
      <x:c r="F58" s="4"/>
      <x:c r="G58" s="4"/>
      <x:c r="H58" s="4"/>
      <x:c r="I58" s="4"/>
      <x:c r="J58" s="4"/>
      <x:c r="K58" s="4"/>
      <x:c r="L58" s="4"/>
    </x:row>
    <x:row r="59" ht="23" customHeight="1">
      <x:c r="A59" s="4"/>
      <x:c r="B59" s="4"/>
      <x:c r="C59" s="4"/>
      <x:c r="D59" s="4"/>
      <x:c r="E59" s="4"/>
      <x:c r="F59" s="4"/>
      <x:c r="G59" s="4"/>
      <x:c r="H59" s="4"/>
      <x:c r="I59" s="4"/>
      <x:c r="J59" s="4"/>
      <x:c r="K59" s="4"/>
      <x:c r="L59" s="4"/>
    </x:row>
    <x:row r="60" ht="23" customHeight="1">
      <x:c r="A60" s="4"/>
      <x:c r="B60" s="4"/>
      <x:c r="C60" s="4"/>
      <x:c r="D60" s="4"/>
      <x:c r="E60" s="4"/>
      <x:c r="F60" s="4"/>
      <x:c r="G60" s="4"/>
      <x:c r="H60" s="4"/>
      <x:c r="I60" s="4"/>
      <x:c r="J60" s="4"/>
      <x:c r="K60" s="4"/>
      <x:c r="L60" s="4"/>
    </x:row>
    <x:row r="61" ht="23" customHeight="1">
      <x:c r="A61" s="4"/>
      <x:c r="B61" s="4"/>
      <x:c r="C61" s="4"/>
      <x:c r="D61" s="4"/>
      <x:c r="E61" s="4"/>
      <x:c r="F61" s="4"/>
      <x:c r="G61" s="4"/>
      <x:c r="H61" s="4"/>
      <x:c r="I61" s="4"/>
      <x:c r="J61" s="4"/>
      <x:c r="K61" s="4"/>
      <x:c r="L61" s="4"/>
    </x:row>
    <x:row r="62" ht="23" customHeight="1">
      <x:c r="A62" s="4"/>
      <x:c r="B62" s="4"/>
      <x:c r="C62" s="4"/>
      <x:c r="D62" s="4"/>
      <x:c r="E62" s="4"/>
      <x:c r="F62" s="4"/>
      <x:c r="G62" s="4"/>
      <x:c r="H62" s="4"/>
      <x:c r="I62" s="4"/>
      <x:c r="J62" s="4"/>
      <x:c r="K62" s="4"/>
      <x:c r="L62" s="4"/>
    </x:row>
    <x:row r="63" ht="23" customHeight="1">
      <x:c r="A63" s="4"/>
      <x:c r="B63" s="4"/>
      <x:c r="C63" s="4"/>
      <x:c r="D63" s="4"/>
      <x:c r="E63" s="4"/>
      <x:c r="F63" s="4"/>
      <x:c r="G63" s="4"/>
      <x:c r="H63" s="4"/>
      <x:c r="I63" s="4"/>
      <x:c r="J63" s="4"/>
      <x:c r="K63" s="4"/>
      <x:c r="L63" s="4"/>
    </x:row>
    <x:row r="64" ht="23" customHeight="1">
      <x:c r="A64" s="4"/>
      <x:c r="B64" s="4"/>
      <x:c r="C64" s="4"/>
      <x:c r="D64" s="4"/>
      <x:c r="E64" s="4"/>
      <x:c r="F64" s="4"/>
      <x:c r="G64" s="4"/>
      <x:c r="H64" s="4"/>
      <x:c r="I64" s="4"/>
      <x:c r="J64" s="4"/>
      <x:c r="K64" s="4"/>
      <x:c r="L64" s="4"/>
    </x:row>
    <x:row r="65" ht="23" customHeight="1">
      <x:c r="A65" s="4"/>
      <x:c r="B65" s="4"/>
      <x:c r="C65" s="4"/>
      <x:c r="D65" s="4"/>
      <x:c r="E65" s="4"/>
      <x:c r="F65" s="4"/>
      <x:c r="G65" s="4"/>
      <x:c r="H65" s="4"/>
      <x:c r="I65" s="4"/>
      <x:c r="J65" s="4"/>
      <x:c r="K65" s="4"/>
      <x:c r="L65" s="4"/>
    </x:row>
    <x:row r="66" ht="23" customHeight="1">
      <x:c r="A66" s="4" t="str">
        <x:v>HARQ ON, έως 3 retransmissions. Το 1 process απέτυχε στο run 1 και εξαιρείται από τη στατιστική, όχι ως μηδενική απόδοση.</x:v>
      </x:c>
      <x:c r="B66" s="4"/>
      <x:c r="C66" s="4"/>
      <x:c r="D66" s="4"/>
      <x:c r="E66" s="4"/>
      <x:c r="F66" s="4"/>
      <x:c r="G66" s="4"/>
      <x:c r="H66" s="4"/>
      <x:c r="I66" s="4"/>
      <x:c r="J66" s="4"/>
      <x:c r="K66" s="4"/>
      <x:c r="L66" s="4"/>
    </x:row>
    <x:row r="67" ht="23" customHeight="1">
      <x:c r="A67" s="4" t="str">
        <x:v>1 UE, 1 gNB, UDP uplink, Friis, χωρίς fading/shadowing. Απόσταση 100 m, UE Tx 10 dBm.</x:v>
      </x:c>
      <x:c r="B67" s="4"/>
      <x:c r="C67" s="4"/>
      <x:c r="D67" s="4"/>
      <x:c r="E67" s="4"/>
      <x:c r="F67" s="4"/>
      <x:c r="G67" s="4"/>
      <x:c r="H67" s="4"/>
      <x:c r="I67" s="4"/>
      <x:c r="J67" s="4"/>
      <x:c r="K67" s="4"/>
      <x:c r="L67" s="4"/>
    </x:row>
    <x:row r="68" ht="23" customHeight="1">
      <x:c r="A68" s="4" t="str">
        <x:v>Bandwidth 100 MHz, load 200 Mbps, numerology 2, TDD DL|UL|UL|UL|, payload 1400 bytes, RLC UM 1048576 bytes.</x:v>
      </x:c>
      <x:c r="B68" s="4"/>
      <x:c r="C68" s="4"/>
      <x:c r="D68" s="4"/>
      <x:c r="E68" s="4"/>
      <x:c r="F68" s="4"/>
      <x:c r="G68" s="4"/>
      <x:c r="H68" s="4"/>
      <x:c r="I68" s="4"/>
      <x:c r="J68" s="4"/>
      <x:c r="K68" s="4"/>
      <x:c r="L68" s="4"/>
    </x:row>
    <x:row r="69" ht="23" customHeight="1">
      <x:c r="A69" s="4" t="str">
        <x:v>Application 1–11 s, drain 2 s. Throughput / goodput = παραληφθέντα bytes ×8 /10 s.</x:v>
      </x:c>
      <x:c r="B69" s="4"/>
      <x:c r="C69" s="4"/>
      <x:c r="D69" s="4"/>
      <x:c r="E69" s="4"/>
      <x:c r="F69" s="4"/>
      <x:c r="G69" s="4"/>
      <x:c r="H69" s="4"/>
      <x:c r="I69" s="4"/>
      <x:c r="J69" s="4"/>
      <x:c r="K69" s="4"/>
      <x:c r="L69" s="4"/>
    </x:row>
    <x:row r="70" ht="23" customHeight="1">
      <x:c r="A70" s="4" t="str">
        <x:v>Το IP throughput περιλαμβάνει headers. Το goodput αφορά payload. Delay/jitter: μόνο παραληφθέντα πακέτα.</x:v>
      </x:c>
      <x:c r="B70" s="4"/>
      <x:c r="C70" s="4"/>
      <x:c r="D70" s="4"/>
      <x:c r="E70" s="4"/>
      <x:c r="F70" s="4"/>
      <x:c r="G70" s="4"/>
      <x:c r="H70" s="4"/>
      <x:c r="I70" s="4"/>
      <x:c r="J70" s="4"/>
      <x:c r="K70" s="4"/>
      <x:c r="L70" s="4"/>
    </x:row>
    <x:row r="71" ht="23" customHeight="1">
      <x:c r="A71" s="4" t="str">
        <x:v>Απώλειες μετά το drain: ενδέχεται να περιλαμβάνουν πακέτα σε ουρά. Δεν έγινε πρόσθετος έλεγχος μεγαλύτερου drain.</x:v>
      </x:c>
      <x:c r="B71" s="4"/>
      <x:c r="C71" s="4"/>
      <x:c r="D71" s="4"/>
      <x:c r="E71" s="4"/>
      <x:c r="F71" s="4"/>
      <x:c r="G71" s="4"/>
      <x:c r="H71" s="4"/>
      <x:c r="I71" s="4"/>
      <x:c r="J71" s="4"/>
      <x:c r="K71" s="4"/>
      <x:c r="L71" s="4"/>
    </x:row>
    <x:row r="72" ht="23" customHeight="1">
      <x:c r="A72" s="4" t="str">
        <x:v>Οι σταθερές ρυθμίσεις ελέγχθηκαν εντός κάθε μελέτης. Οι διαφορετικές μελέτες παραμένουν χωριστές.</x:v>
      </x:c>
      <x:c r="B72" s="4"/>
      <x:c r="C72" s="4"/>
      <x:c r="D72" s="4"/>
      <x:c r="E72" s="4"/>
      <x:c r="F72" s="4"/>
      <x:c r="G72" s="4"/>
      <x:c r="H72" s="4"/>
      <x:c r="I72" s="4"/>
      <x:c r="J72" s="4"/>
      <x:c r="K72" s="4"/>
      <x:c r="L72" s="4"/>
    </x:row>
    <x:row r="73" ht="23" customHeight="1">
      <x:c r="A73" s="4" t="str">
        <x:v>Συχνότητα 3.5 GHz.</x:v>
      </x:c>
      <x:c r="B73" s="4"/>
      <x:c r="C73" s="4"/>
      <x:c r="D73" s="4"/>
      <x:c r="E73" s="4"/>
      <x:c r="F73" s="4"/>
      <x:c r="G73" s="4"/>
      <x:c r="H73" s="4"/>
      <x:c r="I73" s="4"/>
      <x:c r="J73" s="4"/>
      <x:c r="K73" s="4"/>
      <x:c r="L73" s="4"/>
    </x:row>
    <x:row r="74" ht="23" customHeight="1">
      <x:c r="A74" s="4"/>
      <x:c r="B74" s="4"/>
      <x:c r="C74" s="4"/>
      <x:c r="D74" s="4"/>
      <x:c r="E74" s="4"/>
      <x:c r="F74" s="4"/>
      <x:c r="G74" s="4"/>
      <x:c r="H74" s="4"/>
      <x:c r="I74" s="4"/>
      <x:c r="J74" s="4"/>
      <x:c r="K74" s="4"/>
      <x:c r="L74" s="4"/>
    </x:row>
    <x:row r="75" ht="23" customHeight="1">
      <x:c r="A75" s="4"/>
      <x:c r="B75" s="4"/>
      <x:c r="C75" s="4"/>
      <x:c r="D75" s="4"/>
      <x:c r="E75" s="4"/>
      <x:c r="F75" s="4"/>
      <x:c r="G75" s="4"/>
      <x:c r="H75" s="4"/>
      <x:c r="I75" s="4"/>
      <x:c r="J75" s="4"/>
      <x:c r="K75" s="4"/>
      <x:c r="L75" s="4"/>
    </x:row>
    <x:row r="76" ht="23" customHeight="1">
      <x:c r="A76" s="4"/>
      <x:c r="B76" s="4"/>
      <x:c r="C76" s="4"/>
      <x:c r="D76" s="4"/>
      <x:c r="E76" s="4"/>
      <x:c r="F76" s="4"/>
      <x:c r="G76" s="4"/>
      <x:c r="H76" s="4"/>
      <x:c r="I76" s="4"/>
      <x:c r="J76" s="4"/>
      <x:c r="K76" s="4"/>
      <x:c r="L76" s="4"/>
    </x:row>
    <x:row r="77" ht="23" customHeight="1">
      <x:c r="A77" s="4"/>
      <x:c r="B77" s="4"/>
      <x:c r="C77" s="4"/>
      <x:c r="D77" s="4"/>
      <x:c r="E77" s="4"/>
      <x:c r="F77" s="4"/>
      <x:c r="G77" s="4"/>
      <x:c r="H77" s="4"/>
      <x:c r="I77" s="4"/>
      <x:c r="J77" s="4"/>
      <x:c r="K77" s="4"/>
      <x:c r="L77" s="4"/>
    </x:row>
    <x:row r="78" ht="23" customHeight="1">
      <x:c r="A78" s="4"/>
      <x:c r="B78" s="4"/>
      <x:c r="C78" s="4"/>
      <x:c r="D78" s="4"/>
      <x:c r="E78" s="4"/>
      <x:c r="F78" s="4"/>
      <x:c r="G78" s="4"/>
      <x:c r="H78" s="4"/>
      <x:c r="I78" s="4"/>
      <x:c r="J78" s="4"/>
      <x:c r="K78" s="4"/>
      <x:c r="L78" s="4"/>
    </x:row>
    <x:row r="79" ht="23" customHeight="1">
      <x:c r="A79" s="4"/>
      <x:c r="B79" s="4"/>
      <x:c r="C79" s="4"/>
      <x:c r="D79" s="4"/>
      <x:c r="E79" s="4"/>
      <x:c r="F79" s="4"/>
      <x:c r="G79" s="4"/>
      <x:c r="H79" s="4"/>
      <x:c r="I79" s="4"/>
      <x:c r="J79" s="4"/>
      <x:c r="K79" s="4"/>
      <x:c r="L79" s="4"/>
    </x:row>
    <x:row r="80" ht="23" customHeight="1">
      <x:c r="A80" s="4"/>
      <x:c r="B80" s="4"/>
      <x:c r="C80" s="4"/>
      <x:c r="D80" s="4"/>
      <x:c r="E80" s="4"/>
      <x:c r="F80" s="4"/>
      <x:c r="G80" s="4"/>
      <x:c r="H80" s="4"/>
      <x:c r="I80" s="4"/>
      <x:c r="J80" s="4"/>
      <x:c r="K80" s="4"/>
      <x:c r="L80" s="4"/>
    </x:row>
    <x:row r="81" ht="23" customHeight="1">
      <x:c r="A81" s="4"/>
      <x:c r="B81" s="4"/>
      <x:c r="C81" s="4"/>
      <x:c r="D81" s="4"/>
      <x:c r="E81" s="4"/>
      <x:c r="F81" s="4"/>
      <x:c r="G81" s="4"/>
      <x:c r="H81" s="4"/>
      <x:c r="I81" s="4"/>
      <x:c r="J81" s="4"/>
      <x:c r="K81" s="4"/>
      <x:c r="L81" s="4"/>
    </x:row>
    <x:row r="82" ht="23" customHeight="1">
      <x:c r="A82" s="4"/>
      <x:c r="B82" s="4"/>
      <x:c r="C82" s="4"/>
      <x:c r="D82" s="4"/>
      <x:c r="E82" s="4"/>
      <x:c r="F82" s="4"/>
      <x:c r="G82" s="4"/>
      <x:c r="H82" s="4"/>
      <x:c r="I82" s="4"/>
      <x:c r="J82" s="4"/>
      <x:c r="K82" s="4"/>
      <x:c r="L82" s="4"/>
    </x:row>
  </x:sheetData>
  <x:pageMargins left="0.7" right="0.7" top="0.75" bottom="0.75" header="0.3" footer="0.3"/>
  <x:drawing xmlns:r="http://schemas.openxmlformats.org/officeDocument/2006/relationships" r:id="R79ad588ba0654965"/>
</x:worksheet>
</file>

<file path=xl/worksheets/sheet3.xml><?xml version="1.0" encoding="utf-8"?>
<x:worksheet xmlns:x="http://schemas.openxmlformats.org/spreadsheetml/2006/main">
  <x:sheetPr>
    <x:tabColor rgb="FF234B70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36" hidden="0" customWidth="1"/>
    <x:col min="4" max="4" width="22" hidden="0" customWidth="1"/>
    <x:col min="5" max="5" width="22" hidden="0" customWidth="1"/>
    <x:col min="6" max="6" width="70" hidden="0" customWidth="1"/>
    <x:col min="7" max="7" width="70" hidden="0" customWidth="1"/>
    <x:col min="8" max="8" width="70" hidden="0" customWidth="1"/>
    <x:col min="9" max="9" width="22" hidden="0" customWidth="1"/>
    <x:col min="10" max="10" width="22" hidden="0" customWidth="1"/>
    <x:col min="11" max="11" width="22" hidden="0" customWidth="1"/>
    <x:col min="12" max="12" width="22" hidden="0" customWidth="1"/>
    <x:col min="13" max="13" width="22" hidden="0" customWidth="1"/>
    <x:col min="14" max="14" width="22" hidden="0" customWidth="1"/>
    <x:col min="15" max="15" width="22" hidden="0" customWidth="1"/>
    <x:col min="16" max="16" width="22" hidden="0" customWidth="1"/>
    <x:col min="17" max="17" width="22" hidden="0" customWidth="1"/>
    <x:col min="18" max="18" width="22" hidden="0" customWidth="1"/>
    <x:col min="19" max="19" width="22" hidden="0" customWidth="1"/>
    <x:col min="20" max="20" width="22" hidden="0" customWidth="1"/>
    <x:col min="21" max="21" width="22" hidden="0" customWidth="1"/>
    <x:col min="22" max="22" width="22" hidden="0" customWidth="1"/>
    <x:col min="23" max="23" width="22" hidden="0" customWidth="1"/>
    <x:col min="24" max="24" width="22" hidden="0" customWidth="1"/>
    <x:col min="25" max="25" width="22" hidden="0" customWidth="1"/>
    <x:col min="26" max="26" width="22" hidden="0" customWidth="1"/>
    <x:col min="27" max="27" width="22" hidden="0" customWidth="1"/>
    <x:col min="28" max="28" width="22" hidden="0" customWidth="1"/>
    <x:col min="29" max="29" width="22" hidden="0" customWidth="1"/>
    <x:col min="30" max="30" width="22" hidden="0" customWidth="1"/>
    <x:col min="31" max="31" width="22" hidden="0" customWidth="1"/>
    <x:col min="32" max="32" width="22" hidden="0" customWidth="1"/>
    <x:col min="33" max="33" width="22" hidden="0" customWidth="1"/>
    <x:col min="34" max="34" width="22" hidden="0" customWidth="1"/>
    <x:col min="35" max="35" width="22" hidden="0" customWidth="1"/>
    <x:col min="36" max="36" width="22" hidden="0" customWidth="1"/>
    <x:col min="37" max="37" width="22" hidden="0" customWidth="1"/>
    <x:col min="38" max="38" width="22" hidden="0" customWidth="1"/>
    <x:col min="39" max="39" width="70" hidden="0" customWidth="1"/>
  </x:cols>
  <x:sheetData>
    <x:row r="1" ht="76" customHeight="1">
      <x:c r="A1" s="9" t="str">
        <x:v>status</x:v>
      </x:c>
      <x:c r="B1" s="9" t="str">
        <x:v>experiment_index</x:v>
      </x:c>
      <x:c r="C1" s="9" t="str">
        <x:v>experiment_id</x:v>
      </x:c>
      <x:c r="D1" s="9" t="str">
        <x:v>n8n_execution_id</x:v>
      </x:c>
      <x:c r="E1" s="9" t="str">
        <x:v>data_source</x:v>
      </x:c>
      <x:c r="F1" s="9" t="str">
        <x:v>config_path</x:v>
      </x:c>
      <x:c r="G1" s="9" t="str">
        <x:v>results_path</x:v>
      </x:c>
      <x:c r="H1" s="9" t="str">
        <x:v>experiment_dir</x:v>
      </x:c>
      <x:c r="I1" s="9" t="str">
        <x:v>harq_enabled</x:v>
      </x:c>
      <x:c r="J1" s="9" t="str">
        <x:v>harq_max_retransmissions</x:v>
      </x:c>
      <x:c r="K1" s="9" t="str">
        <x:v>harq_processes</x:v>
      </x:c>
      <x:c r="L1" s="9" t="str">
        <x:v>gnb_antenna_model</x:v>
      </x:c>
      <x:c r="M1" s="9" t="str">
        <x:v>gnb_antenna_max_gain_dbi</x:v>
      </x:c>
      <x:c r="N1" s="9" t="str">
        <x:v>gnb_antenna_orientation_deg</x:v>
      </x:c>
      <x:c r="O1" s="9" t="str">
        <x:v>gnb_antenna_horizontal_beamwidth_deg</x:v>
      </x:c>
      <x:c r="P1" s="9" t="str">
        <x:v>gnb_antenna_vertical_beamwidth_deg</x:v>
      </x:c>
      <x:c r="Q1" s="9" t="str">
        <x:v>gnb_antenna_effective_gain_toward_ue_db</x:v>
      </x:c>
      <x:c r="R1" s="9" t="str">
        <x:v>carrier_frequency_hz</x:v>
      </x:c>
      <x:c r="S1" s="9" t="str">
        <x:v>ue_distance_2d_m</x:v>
      </x:c>
      <x:c r="T1" s="9" t="str">
        <x:v>ue_distance_3d_m</x:v>
      </x:c>
      <x:c r="U1" s="9" t="str">
        <x:v>ue_tx_power_dbm</x:v>
      </x:c>
      <x:c r="V1" s="9" t="str">
        <x:v>offered_load_mbps</x:v>
      </x:c>
      <x:c r="W1" s="9" t="str">
        <x:v>bandwidth_hz</x:v>
      </x:c>
      <x:c r="X1" s="9" t="str">
        <x:v>numerology</x:v>
      </x:c>
      <x:c r="Y1" s="9" t="str">
        <x:v>tdd_pattern</x:v>
      </x:c>
      <x:c r="Z1" s="9" t="str">
        <x:v>packet_size_bytes</x:v>
      </x:c>
      <x:c r="AA1" s="9" t="str">
        <x:v>rlc_buffer_size_bytes</x:v>
      </x:c>
      <x:c r="AB1" s="9" t="str">
        <x:v>rng_seed</x:v>
      </x:c>
      <x:c r="AC1" s="9" t="str">
        <x:v>rng_run</x:v>
      </x:c>
      <x:c r="AD1" s="9" t="str">
        <x:v>throughput_mbps</x:v>
      </x:c>
      <x:c r="AE1" s="9" t="str">
        <x:v>app_goodput_mbps</x:v>
      </x:c>
      <x:c r="AF1" s="9" t="str">
        <x:v>end_to_end_delay_ms</x:v>
      </x:c>
      <x:c r="AG1" s="9" t="str">
        <x:v>jitter_ms</x:v>
      </x:c>
      <x:c r="AH1" s="9" t="str">
        <x:v>loss_fraction</x:v>
      </x:c>
      <x:c r="AI1" s="9" t="str">
        <x:v>tx_packets</x:v>
      </x:c>
      <x:c r="AJ1" s="9" t="str">
        <x:v>rx_packets</x:v>
      </x:c>
      <x:c r="AK1" s="9" t="str">
        <x:v>ip_rx_bytes</x:v>
      </x:c>
      <x:c r="AL1" s="9" t="str">
        <x:v>unreceived_packets_after_drain</x:v>
      </x:c>
      <x:c r="AM1" s="9" t="str">
        <x:v>source_csv</x:v>
      </x:c>
    </x:row>
    <x:row r="2" ht="23" customHeight="1">
      <x:c r="A2" s="4" t="str">
        <x:v>success</x:v>
      </x:c>
      <x:c r="B2" s="4" t="n">
        <x:v>1</x:v>
      </x:c>
      <x:c r="C2" s="4" t="str">
        <x:v>harq_retx_0_run_1</x:v>
      </x:c>
      <x:c r="D2" s="4" t="n">
        <x:v>169</x:v>
      </x:c>
      <x:c r="E2" s="4" t="str">
        <x:v>ns3</x:v>
      </x:c>
      <x:c r="F2" s="4" t="str">
        <x:v>experiments/execution_169/experiment_1/config.json</x:v>
      </x:c>
      <x:c r="G2" s="4" t="str">
        <x:v>experiments/execution_169/experiment_1/results.json</x:v>
      </x:c>
      <x:c r="H2" s="4" t="str">
        <x:v>/home/dinos/ns-allinone-3.47/ns-3.47/experiments/execution_169/experiment_1</x:v>
      </x:c>
      <x:c r="I2" s="5" t="b">
        <x:v>0</x:v>
      </x:c>
      <x:c r="J2" s="4" t="n">
        <x:v>0</x:v>
      </x:c>
      <x:c r="K2" s="4" t="n">
        <x:v>16</x:v>
      </x:c>
      <x:c r="L2" s="4" t="str">
        <x:v>Cosine</x:v>
      </x:c>
      <x:c r="M2" s="4" t="n">
        <x:v>0</x:v>
      </x:c>
      <x:c r="N2" s="4" t="n">
        <x:v>0</x:v>
      </x:c>
      <x:c r="O2" s="4" t="n">
        <x:v>120</x:v>
      </x:c>
      <x:c r="P2" s="4" t="n">
        <x:v>360</x:v>
      </x:c>
      <x:c r="Q2" s="4" t="n">
        <x:v>0</x:v>
      </x:c>
      <x:c r="R2" s="4" t="n">
        <x:v>3500000000</x:v>
      </x:c>
      <x:c r="S2" s="4" t="n">
        <x:v>100</x:v>
      </x:c>
      <x:c r="T2" s="4" t="n">
        <x:v>100.3605998</x:v>
      </x:c>
      <x:c r="U2" s="4" t="n">
        <x:v>10</x:v>
      </x:c>
      <x:c r="V2" s="4" t="n">
        <x:v>200</x:v>
      </x:c>
      <x:c r="W2" s="4" t="n">
        <x:v>100000000</x:v>
      </x:c>
      <x:c r="X2" s="4" t="n">
        <x:v>2</x:v>
      </x:c>
      <x:c r="Y2" s="4" t="str">
        <x:v>DL|UL|UL|UL|</x:v>
      </x:c>
      <x:c r="Z2" s="4" t="n">
        <x:v>1400</x:v>
      </x:c>
      <x:c r="AA2" s="4" t="n">
        <x:v>1048576</x:v>
      </x:c>
      <x:c r="AB2" s="4" t="n">
        <x:v>42</x:v>
      </x:c>
      <x:c r="AC2" s="4" t="n">
        <x:v>1</x:v>
      </x:c>
      <x:c r="AD2" s="10" t="n">
        <x:v>203.9995104</x:v>
      </x:c>
      <x:c r="AE2" s="10" t="n">
        <x:v>199.99952</x:v>
      </x:c>
      <x:c r="AF2" s="10" t="n">
        <x:v>3.642558848</x:v>
      </x:c>
      <x:c r="AG2" s="10" t="n">
        <x:v>0.099013235</x:v>
      </x:c>
      <x:c r="AH2" s="10" t="n">
        <x:v>0</x:v>
      </x:c>
      <x:c r="AI2" s="4" t="n">
        <x:v>178571</x:v>
      </x:c>
      <x:c r="AJ2" s="4" t="n">
        <x:v>178571</x:v>
      </x:c>
      <x:c r="AK2" s="4" t="n">
        <x:v>254999388</x:v>
      </x:c>
      <x:c r="AL2" s="4" t="n">
        <x:v>0</x:v>
      </x:c>
      <x:c r="AM2" s="4" t="str">
        <x:v>experiments/execution_169/batch_dataset.csv</x:v>
      </x:c>
    </x:row>
    <x:row r="3" ht="23" customHeight="1">
      <x:c r="A3" s="4" t="str">
        <x:v>success</x:v>
      </x:c>
      <x:c r="B3" s="4" t="n">
        <x:v>1</x:v>
      </x:c>
      <x:c r="C3" s="4" t="str">
        <x:v>harq_retx_0_run_2</x:v>
      </x:c>
      <x:c r="D3" s="4" t="n">
        <x:v>170</x:v>
      </x:c>
      <x:c r="E3" s="4" t="str">
        <x:v>ns3</x:v>
      </x:c>
      <x:c r="F3" s="4" t="str">
        <x:v>experiments/execution_170/experiment_1/config.json</x:v>
      </x:c>
      <x:c r="G3" s="4" t="str">
        <x:v>experiments/execution_170/experiment_1/results.json</x:v>
      </x:c>
      <x:c r="H3" s="4" t="str">
        <x:v>/home/dinos/ns-allinone-3.47/ns-3.47/experiments/execution_170/experiment_1</x:v>
      </x:c>
      <x:c r="I3" s="5" t="b">
        <x:v>0</x:v>
      </x:c>
      <x:c r="J3" s="4" t="n">
        <x:v>0</x:v>
      </x:c>
      <x:c r="K3" s="4" t="n">
        <x:v>16</x:v>
      </x:c>
      <x:c r="L3" s="4" t="str">
        <x:v>Cosine</x:v>
      </x:c>
      <x:c r="M3" s="4" t="n">
        <x:v>0</x:v>
      </x:c>
      <x:c r="N3" s="4" t="n">
        <x:v>0</x:v>
      </x:c>
      <x:c r="O3" s="4" t="n">
        <x:v>120</x:v>
      </x:c>
      <x:c r="P3" s="4" t="n">
        <x:v>360</x:v>
      </x:c>
      <x:c r="Q3" s="4" t="n">
        <x:v>0</x:v>
      </x:c>
      <x:c r="R3" s="4" t="n">
        <x:v>3500000000</x:v>
      </x:c>
      <x:c r="S3" s="4" t="n">
        <x:v>100</x:v>
      </x:c>
      <x:c r="T3" s="4" t="n">
        <x:v>100.3605998</x:v>
      </x:c>
      <x:c r="U3" s="4" t="n">
        <x:v>10</x:v>
      </x:c>
      <x:c r="V3" s="4" t="n">
        <x:v>200</x:v>
      </x:c>
      <x:c r="W3" s="4" t="n">
        <x:v>100000000</x:v>
      </x:c>
      <x:c r="X3" s="4" t="n">
        <x:v>2</x:v>
      </x:c>
      <x:c r="Y3" s="4" t="str">
        <x:v>DL|UL|UL|UL|</x:v>
      </x:c>
      <x:c r="Z3" s="4" t="n">
        <x:v>1400</x:v>
      </x:c>
      <x:c r="AA3" s="4" t="n">
        <x:v>1048576</x:v>
      </x:c>
      <x:c r="AB3" s="4" t="n">
        <x:v>42</x:v>
      </x:c>
      <x:c r="AC3" s="4" t="n">
        <x:v>2</x:v>
      </x:c>
      <x:c r="AD3" s="10" t="n">
        <x:v>203.9995104</x:v>
      </x:c>
      <x:c r="AE3" s="10" t="n">
        <x:v>199.99952</x:v>
      </x:c>
      <x:c r="AF3" s="10" t="n">
        <x:v>3.643432479</x:v>
      </x:c>
      <x:c r="AG3" s="10" t="n">
        <x:v>0.098951344</x:v>
      </x:c>
      <x:c r="AH3" s="10" t="n">
        <x:v>0</x:v>
      </x:c>
      <x:c r="AI3" s="4" t="n">
        <x:v>178571</x:v>
      </x:c>
      <x:c r="AJ3" s="4" t="n">
        <x:v>178571</x:v>
      </x:c>
      <x:c r="AK3" s="4" t="n">
        <x:v>254999388</x:v>
      </x:c>
      <x:c r="AL3" s="4" t="n">
        <x:v>0</x:v>
      </x:c>
      <x:c r="AM3" s="4" t="str">
        <x:v>experiments/execution_170/batch_dataset.csv</x:v>
      </x:c>
    </x:row>
    <x:row r="4" ht="23" customHeight="1">
      <x:c r="A4" s="4" t="str">
        <x:v>success</x:v>
      </x:c>
      <x:c r="B4" s="4" t="n">
        <x:v>1</x:v>
      </x:c>
      <x:c r="C4" s="4" t="str">
        <x:v>harq_retx_0_run_3</x:v>
      </x:c>
      <x:c r="D4" s="4" t="n">
        <x:v>171</x:v>
      </x:c>
      <x:c r="E4" s="4" t="str">
        <x:v>ns3</x:v>
      </x:c>
      <x:c r="F4" s="4" t="str">
        <x:v>experiments/execution_171/experiment_1/config.json</x:v>
      </x:c>
      <x:c r="G4" s="4" t="str">
        <x:v>experiments/execution_171/experiment_1/results.json</x:v>
      </x:c>
      <x:c r="H4" s="4" t="str">
        <x:v>/home/dinos/ns-allinone-3.47/ns-3.47/experiments/execution_171/experiment_1</x:v>
      </x:c>
      <x:c r="I4" s="5" t="b">
        <x:v>0</x:v>
      </x:c>
      <x:c r="J4" s="4" t="n">
        <x:v>0</x:v>
      </x:c>
      <x:c r="K4" s="4" t="n">
        <x:v>16</x:v>
      </x:c>
      <x:c r="L4" s="4" t="str">
        <x:v>Cosine</x:v>
      </x:c>
      <x:c r="M4" s="4" t="n">
        <x:v>0</x:v>
      </x:c>
      <x:c r="N4" s="4" t="n">
        <x:v>0</x:v>
      </x:c>
      <x:c r="O4" s="4" t="n">
        <x:v>120</x:v>
      </x:c>
      <x:c r="P4" s="4" t="n">
        <x:v>360</x:v>
      </x:c>
      <x:c r="Q4" s="4" t="n">
        <x:v>0</x:v>
      </x:c>
      <x:c r="R4" s="4" t="n">
        <x:v>3500000000</x:v>
      </x:c>
      <x:c r="S4" s="4" t="n">
        <x:v>100</x:v>
      </x:c>
      <x:c r="T4" s="4" t="n">
        <x:v>100.3605998</x:v>
      </x:c>
      <x:c r="U4" s="4" t="n">
        <x:v>10</x:v>
      </x:c>
      <x:c r="V4" s="4" t="n">
        <x:v>200</x:v>
      </x:c>
      <x:c r="W4" s="4" t="n">
        <x:v>100000000</x:v>
      </x:c>
      <x:c r="X4" s="4" t="n">
        <x:v>2</x:v>
      </x:c>
      <x:c r="Y4" s="4" t="str">
        <x:v>DL|UL|UL|UL|</x:v>
      </x:c>
      <x:c r="Z4" s="4" t="n">
        <x:v>1400</x:v>
      </x:c>
      <x:c r="AA4" s="4" t="n">
        <x:v>1048576</x:v>
      </x:c>
      <x:c r="AB4" s="4" t="n">
        <x:v>42</x:v>
      </x:c>
      <x:c r="AC4" s="4" t="n">
        <x:v>3</x:v>
      </x:c>
      <x:c r="AD4" s="10" t="n">
        <x:v>203.9995104</x:v>
      </x:c>
      <x:c r="AE4" s="10" t="n">
        <x:v>199.99952</x:v>
      </x:c>
      <x:c r="AF4" s="10" t="n">
        <x:v>3.640227449</x:v>
      </x:c>
      <x:c r="AG4" s="10" t="n">
        <x:v>0.099045787</x:v>
      </x:c>
      <x:c r="AH4" s="10" t="n">
        <x:v>0</x:v>
      </x:c>
      <x:c r="AI4" s="4" t="n">
        <x:v>178571</x:v>
      </x:c>
      <x:c r="AJ4" s="4" t="n">
        <x:v>178571</x:v>
      </x:c>
      <x:c r="AK4" s="4" t="n">
        <x:v>254999388</x:v>
      </x:c>
      <x:c r="AL4" s="4" t="n">
        <x:v>0</x:v>
      </x:c>
      <x:c r="AM4" s="4" t="str">
        <x:v>experiments/execution_171/batch_dataset.csv</x:v>
      </x:c>
    </x:row>
    <x:row r="5" ht="23" customHeight="1">
      <x:c r="A5" s="4" t="str">
        <x:v>success</x:v>
      </x:c>
      <x:c r="B5" s="4" t="n">
        <x:v>1</x:v>
      </x:c>
      <x:c r="C5" s="4" t="str">
        <x:v>harq_retx_0_run_4</x:v>
      </x:c>
      <x:c r="D5" s="4" t="n">
        <x:v>172</x:v>
      </x:c>
      <x:c r="E5" s="4" t="str">
        <x:v>ns3</x:v>
      </x:c>
      <x:c r="F5" s="4" t="str">
        <x:v>experiments/execution_172/experiment_1/config.json</x:v>
      </x:c>
      <x:c r="G5" s="4" t="str">
        <x:v>experiments/execution_172/experiment_1/results.json</x:v>
      </x:c>
      <x:c r="H5" s="4" t="str">
        <x:v>/home/dinos/ns-allinone-3.47/ns-3.47/experiments/execution_172/experiment_1</x:v>
      </x:c>
      <x:c r="I5" s="5" t="b">
        <x:v>0</x:v>
      </x:c>
      <x:c r="J5" s="4" t="n">
        <x:v>0</x:v>
      </x:c>
      <x:c r="K5" s="4" t="n">
        <x:v>16</x:v>
      </x:c>
      <x:c r="L5" s="4" t="str">
        <x:v>Cosine</x:v>
      </x:c>
      <x:c r="M5" s="4" t="n">
        <x:v>0</x:v>
      </x:c>
      <x:c r="N5" s="4" t="n">
        <x:v>0</x:v>
      </x:c>
      <x:c r="O5" s="4" t="n">
        <x:v>120</x:v>
      </x:c>
      <x:c r="P5" s="4" t="n">
        <x:v>360</x:v>
      </x:c>
      <x:c r="Q5" s="4" t="n">
        <x:v>0</x:v>
      </x:c>
      <x:c r="R5" s="4" t="n">
        <x:v>3500000000</x:v>
      </x:c>
      <x:c r="S5" s="4" t="n">
        <x:v>100</x:v>
      </x:c>
      <x:c r="T5" s="4" t="n">
        <x:v>100.3605998</x:v>
      </x:c>
      <x:c r="U5" s="4" t="n">
        <x:v>10</x:v>
      </x:c>
      <x:c r="V5" s="4" t="n">
        <x:v>200</x:v>
      </x:c>
      <x:c r="W5" s="4" t="n">
        <x:v>100000000</x:v>
      </x:c>
      <x:c r="X5" s="4" t="n">
        <x:v>2</x:v>
      </x:c>
      <x:c r="Y5" s="4" t="str">
        <x:v>DL|UL|UL|UL|</x:v>
      </x:c>
      <x:c r="Z5" s="4" t="n">
        <x:v>1400</x:v>
      </x:c>
      <x:c r="AA5" s="4" t="n">
        <x:v>1048576</x:v>
      </x:c>
      <x:c r="AB5" s="4" t="n">
        <x:v>42</x:v>
      </x:c>
      <x:c r="AC5" s="4" t="n">
        <x:v>4</x:v>
      </x:c>
      <x:c r="AD5" s="10" t="n">
        <x:v>203.9995104</x:v>
      </x:c>
      <x:c r="AE5" s="10" t="n">
        <x:v>199.99952</x:v>
      </x:c>
      <x:c r="AF5" s="10" t="n">
        <x:v>3.640709699</x:v>
      </x:c>
      <x:c r="AG5" s="10" t="n">
        <x:v>0.099028799</x:v>
      </x:c>
      <x:c r="AH5" s="10" t="n">
        <x:v>0</x:v>
      </x:c>
      <x:c r="AI5" s="4" t="n">
        <x:v>178571</x:v>
      </x:c>
      <x:c r="AJ5" s="4" t="n">
        <x:v>178571</x:v>
      </x:c>
      <x:c r="AK5" s="4" t="n">
        <x:v>254999388</x:v>
      </x:c>
      <x:c r="AL5" s="4" t="n">
        <x:v>0</x:v>
      </x:c>
      <x:c r="AM5" s="4" t="str">
        <x:v>experiments/execution_172/batch_dataset.csv</x:v>
      </x:c>
    </x:row>
    <x:row r="6" ht="23" customHeight="1">
      <x:c r="A6" s="4" t="str">
        <x:v>success</x:v>
      </x:c>
      <x:c r="B6" s="4" t="n">
        <x:v>1</x:v>
      </x:c>
      <x:c r="C6" s="4" t="str">
        <x:v>harq_retx_0_run_5</x:v>
      </x:c>
      <x:c r="D6" s="4" t="n">
        <x:v>173</x:v>
      </x:c>
      <x:c r="E6" s="4" t="str">
        <x:v>ns3</x:v>
      </x:c>
      <x:c r="F6" s="4" t="str">
        <x:v>experiments/execution_173/experiment_1/config.json</x:v>
      </x:c>
      <x:c r="G6" s="4" t="str">
        <x:v>experiments/execution_173/experiment_1/results.json</x:v>
      </x:c>
      <x:c r="H6" s="4" t="str">
        <x:v>/home/dinos/ns-allinone-3.47/ns-3.47/experiments/execution_173/experiment_1</x:v>
      </x:c>
      <x:c r="I6" s="5" t="b">
        <x:v>0</x:v>
      </x:c>
      <x:c r="J6" s="4" t="n">
        <x:v>0</x:v>
      </x:c>
      <x:c r="K6" s="4" t="n">
        <x:v>16</x:v>
      </x:c>
      <x:c r="L6" s="4" t="str">
        <x:v>Cosine</x:v>
      </x:c>
      <x:c r="M6" s="4" t="n">
        <x:v>0</x:v>
      </x:c>
      <x:c r="N6" s="4" t="n">
        <x:v>0</x:v>
      </x:c>
      <x:c r="O6" s="4" t="n">
        <x:v>120</x:v>
      </x:c>
      <x:c r="P6" s="4" t="n">
        <x:v>360</x:v>
      </x:c>
      <x:c r="Q6" s="4" t="n">
        <x:v>0</x:v>
      </x:c>
      <x:c r="R6" s="4" t="n">
        <x:v>3500000000</x:v>
      </x:c>
      <x:c r="S6" s="4" t="n">
        <x:v>100</x:v>
      </x:c>
      <x:c r="T6" s="4" t="n">
        <x:v>100.3605998</x:v>
      </x:c>
      <x:c r="U6" s="4" t="n">
        <x:v>10</x:v>
      </x:c>
      <x:c r="V6" s="4" t="n">
        <x:v>200</x:v>
      </x:c>
      <x:c r="W6" s="4" t="n">
        <x:v>100000000</x:v>
      </x:c>
      <x:c r="X6" s="4" t="n">
        <x:v>2</x:v>
      </x:c>
      <x:c r="Y6" s="4" t="str">
        <x:v>DL|UL|UL|UL|</x:v>
      </x:c>
      <x:c r="Z6" s="4" t="n">
        <x:v>1400</x:v>
      </x:c>
      <x:c r="AA6" s="4" t="n">
        <x:v>1048576</x:v>
      </x:c>
      <x:c r="AB6" s="4" t="n">
        <x:v>42</x:v>
      </x:c>
      <x:c r="AC6" s="4" t="n">
        <x:v>5</x:v>
      </x:c>
      <x:c r="AD6" s="10" t="n">
        <x:v>203.9995104</x:v>
      </x:c>
      <x:c r="AE6" s="10" t="n">
        <x:v>199.99952</x:v>
      </x:c>
      <x:c r="AF6" s="10" t="n">
        <x:v>3.645256648</x:v>
      </x:c>
      <x:c r="AG6" s="10" t="n">
        <x:v>0.099023061</x:v>
      </x:c>
      <x:c r="AH6" s="10" t="n">
        <x:v>0</x:v>
      </x:c>
      <x:c r="AI6" s="4" t="n">
        <x:v>178571</x:v>
      </x:c>
      <x:c r="AJ6" s="4" t="n">
        <x:v>178571</x:v>
      </x:c>
      <x:c r="AK6" s="4" t="n">
        <x:v>254999388</x:v>
      </x:c>
      <x:c r="AL6" s="4" t="n">
        <x:v>0</x:v>
      </x:c>
      <x:c r="AM6" s="4" t="str">
        <x:v>experiments/execution_173/batch_dataset.csv</x:v>
      </x:c>
    </x:row>
    <x:row r="7" ht="23" customHeight="1">
      <x:c r="A7" s="4" t="str">
        <x:v>success</x:v>
      </x:c>
      <x:c r="B7" s="4" t="n">
        <x:v>2</x:v>
      </x:c>
      <x:c r="C7" s="4" t="str">
        <x:v>harq_retx_3_run_1</x:v>
      </x:c>
      <x:c r="D7" s="4" t="n">
        <x:v>169</x:v>
      </x:c>
      <x:c r="E7" s="4" t="str">
        <x:v>ns3</x:v>
      </x:c>
      <x:c r="F7" s="4" t="str">
        <x:v>experiments/execution_169/experiment_2/config.json</x:v>
      </x:c>
      <x:c r="G7" s="4" t="str">
        <x:v>experiments/execution_169/experiment_2/results.json</x:v>
      </x:c>
      <x:c r="H7" s="4" t="str">
        <x:v>/home/dinos/ns-allinone-3.47/ns-3.47/experiments/execution_169/experiment_2</x:v>
      </x:c>
      <x:c r="I7" s="5" t="b">
        <x:v>1</x:v>
      </x:c>
      <x:c r="J7" s="4" t="n">
        <x:v>3</x:v>
      </x:c>
      <x:c r="K7" s="4" t="n">
        <x:v>16</x:v>
      </x:c>
      <x:c r="L7" s="4" t="str">
        <x:v>Cosine</x:v>
      </x:c>
      <x:c r="M7" s="4" t="n">
        <x:v>0</x:v>
      </x:c>
      <x:c r="N7" s="4" t="n">
        <x:v>0</x:v>
      </x:c>
      <x:c r="O7" s="4" t="n">
        <x:v>120</x:v>
      </x:c>
      <x:c r="P7" s="4" t="n">
        <x:v>360</x:v>
      </x:c>
      <x:c r="Q7" s="4" t="n">
        <x:v>0</x:v>
      </x:c>
      <x:c r="R7" s="4" t="n">
        <x:v>3500000000</x:v>
      </x:c>
      <x:c r="S7" s="4" t="n">
        <x:v>100</x:v>
      </x:c>
      <x:c r="T7" s="4" t="n">
        <x:v>100.3605998</x:v>
      </x:c>
      <x:c r="U7" s="4" t="n">
        <x:v>10</x:v>
      </x:c>
      <x:c r="V7" s="4" t="n">
        <x:v>200</x:v>
      </x:c>
      <x:c r="W7" s="4" t="n">
        <x:v>100000000</x:v>
      </x:c>
      <x:c r="X7" s="4" t="n">
        <x:v>2</x:v>
      </x:c>
      <x:c r="Y7" s="4" t="str">
        <x:v>DL|UL|UL|UL|</x:v>
      </x:c>
      <x:c r="Z7" s="4" t="n">
        <x:v>1400</x:v>
      </x:c>
      <x:c r="AA7" s="4" t="n">
        <x:v>1048576</x:v>
      </x:c>
      <x:c r="AB7" s="4" t="n">
        <x:v>42</x:v>
      </x:c>
      <x:c r="AC7" s="4" t="n">
        <x:v>1</x:v>
      </x:c>
      <x:c r="AD7" s="10" t="n">
        <x:v>203.9995104</x:v>
      </x:c>
      <x:c r="AE7" s="10" t="n">
        <x:v>199.99952</x:v>
      </x:c>
      <x:c r="AF7" s="10" t="n">
        <x:v>3.642558848</x:v>
      </x:c>
      <x:c r="AG7" s="10" t="n">
        <x:v>0.099013235</x:v>
      </x:c>
      <x:c r="AH7" s="10" t="n">
        <x:v>0</x:v>
      </x:c>
      <x:c r="AI7" s="4" t="n">
        <x:v>178571</x:v>
      </x:c>
      <x:c r="AJ7" s="4" t="n">
        <x:v>178571</x:v>
      </x:c>
      <x:c r="AK7" s="4" t="n">
        <x:v>254999388</x:v>
      </x:c>
      <x:c r="AL7" s="4" t="n">
        <x:v>0</x:v>
      </x:c>
      <x:c r="AM7" s="4" t="str">
        <x:v>experiments/execution_169/batch_dataset.csv</x:v>
      </x:c>
    </x:row>
    <x:row r="8" ht="23" customHeight="1">
      <x:c r="A8" s="4" t="str">
        <x:v>success</x:v>
      </x:c>
      <x:c r="B8" s="4" t="n">
        <x:v>2</x:v>
      </x:c>
      <x:c r="C8" s="4" t="str">
        <x:v>harq_retx_3_run_2</x:v>
      </x:c>
      <x:c r="D8" s="4" t="n">
        <x:v>170</x:v>
      </x:c>
      <x:c r="E8" s="4" t="str">
        <x:v>ns3</x:v>
      </x:c>
      <x:c r="F8" s="4" t="str">
        <x:v>experiments/execution_170/experiment_2/config.json</x:v>
      </x:c>
      <x:c r="G8" s="4" t="str">
        <x:v>experiments/execution_170/experiment_2/results.json</x:v>
      </x:c>
      <x:c r="H8" s="4" t="str">
        <x:v>/home/dinos/ns-allinone-3.47/ns-3.47/experiments/execution_170/experiment_2</x:v>
      </x:c>
      <x:c r="I8" s="5" t="b">
        <x:v>1</x:v>
      </x:c>
      <x:c r="J8" s="4" t="n">
        <x:v>3</x:v>
      </x:c>
      <x:c r="K8" s="4" t="n">
        <x:v>16</x:v>
      </x:c>
      <x:c r="L8" s="4" t="str">
        <x:v>Cosine</x:v>
      </x:c>
      <x:c r="M8" s="4" t="n">
        <x:v>0</x:v>
      </x:c>
      <x:c r="N8" s="4" t="n">
        <x:v>0</x:v>
      </x:c>
      <x:c r="O8" s="4" t="n">
        <x:v>120</x:v>
      </x:c>
      <x:c r="P8" s="4" t="n">
        <x:v>360</x:v>
      </x:c>
      <x:c r="Q8" s="4" t="n">
        <x:v>0</x:v>
      </x:c>
      <x:c r="R8" s="4" t="n">
        <x:v>3500000000</x:v>
      </x:c>
      <x:c r="S8" s="4" t="n">
        <x:v>100</x:v>
      </x:c>
      <x:c r="T8" s="4" t="n">
        <x:v>100.3605998</x:v>
      </x:c>
      <x:c r="U8" s="4" t="n">
        <x:v>10</x:v>
      </x:c>
      <x:c r="V8" s="4" t="n">
        <x:v>200</x:v>
      </x:c>
      <x:c r="W8" s="4" t="n">
        <x:v>100000000</x:v>
      </x:c>
      <x:c r="X8" s="4" t="n">
        <x:v>2</x:v>
      </x:c>
      <x:c r="Y8" s="4" t="str">
        <x:v>DL|UL|UL|UL|</x:v>
      </x:c>
      <x:c r="Z8" s="4" t="n">
        <x:v>1400</x:v>
      </x:c>
      <x:c r="AA8" s="4" t="n">
        <x:v>1048576</x:v>
      </x:c>
      <x:c r="AB8" s="4" t="n">
        <x:v>42</x:v>
      </x:c>
      <x:c r="AC8" s="4" t="n">
        <x:v>2</x:v>
      </x:c>
      <x:c r="AD8" s="10" t="n">
        <x:v>203.9995104</x:v>
      </x:c>
      <x:c r="AE8" s="10" t="n">
        <x:v>199.99952</x:v>
      </x:c>
      <x:c r="AF8" s="10" t="n">
        <x:v>3.643432479</x:v>
      </x:c>
      <x:c r="AG8" s="10" t="n">
        <x:v>0.098951344</x:v>
      </x:c>
      <x:c r="AH8" s="10" t="n">
        <x:v>0</x:v>
      </x:c>
      <x:c r="AI8" s="4" t="n">
        <x:v>178571</x:v>
      </x:c>
      <x:c r="AJ8" s="4" t="n">
        <x:v>178571</x:v>
      </x:c>
      <x:c r="AK8" s="4" t="n">
        <x:v>254999388</x:v>
      </x:c>
      <x:c r="AL8" s="4" t="n">
        <x:v>0</x:v>
      </x:c>
      <x:c r="AM8" s="4" t="str">
        <x:v>experiments/execution_170/batch_dataset.csv</x:v>
      </x:c>
    </x:row>
    <x:row r="9" ht="23" customHeight="1">
      <x:c r="A9" s="4" t="str">
        <x:v>success</x:v>
      </x:c>
      <x:c r="B9" s="4" t="n">
        <x:v>2</x:v>
      </x:c>
      <x:c r="C9" s="4" t="str">
        <x:v>harq_retx_3_run_3</x:v>
      </x:c>
      <x:c r="D9" s="4" t="n">
        <x:v>171</x:v>
      </x:c>
      <x:c r="E9" s="4" t="str">
        <x:v>ns3</x:v>
      </x:c>
      <x:c r="F9" s="4" t="str">
        <x:v>experiments/execution_171/experiment_2/config.json</x:v>
      </x:c>
      <x:c r="G9" s="4" t="str">
        <x:v>experiments/execution_171/experiment_2/results.json</x:v>
      </x:c>
      <x:c r="H9" s="4" t="str">
        <x:v>/home/dinos/ns-allinone-3.47/ns-3.47/experiments/execution_171/experiment_2</x:v>
      </x:c>
      <x:c r="I9" s="5" t="b">
        <x:v>1</x:v>
      </x:c>
      <x:c r="J9" s="4" t="n">
        <x:v>3</x:v>
      </x:c>
      <x:c r="K9" s="4" t="n">
        <x:v>16</x:v>
      </x:c>
      <x:c r="L9" s="4" t="str">
        <x:v>Cosine</x:v>
      </x:c>
      <x:c r="M9" s="4" t="n">
        <x:v>0</x:v>
      </x:c>
      <x:c r="N9" s="4" t="n">
        <x:v>0</x:v>
      </x:c>
      <x:c r="O9" s="4" t="n">
        <x:v>120</x:v>
      </x:c>
      <x:c r="P9" s="4" t="n">
        <x:v>360</x:v>
      </x:c>
      <x:c r="Q9" s="4" t="n">
        <x:v>0</x:v>
      </x:c>
      <x:c r="R9" s="4" t="n">
        <x:v>3500000000</x:v>
      </x:c>
      <x:c r="S9" s="4" t="n">
        <x:v>100</x:v>
      </x:c>
      <x:c r="T9" s="4" t="n">
        <x:v>100.3605998</x:v>
      </x:c>
      <x:c r="U9" s="4" t="n">
        <x:v>10</x:v>
      </x:c>
      <x:c r="V9" s="4" t="n">
        <x:v>200</x:v>
      </x:c>
      <x:c r="W9" s="4" t="n">
        <x:v>100000000</x:v>
      </x:c>
      <x:c r="X9" s="4" t="n">
        <x:v>2</x:v>
      </x:c>
      <x:c r="Y9" s="4" t="str">
        <x:v>DL|UL|UL|UL|</x:v>
      </x:c>
      <x:c r="Z9" s="4" t="n">
        <x:v>1400</x:v>
      </x:c>
      <x:c r="AA9" s="4" t="n">
        <x:v>1048576</x:v>
      </x:c>
      <x:c r="AB9" s="4" t="n">
        <x:v>42</x:v>
      </x:c>
      <x:c r="AC9" s="4" t="n">
        <x:v>3</x:v>
      </x:c>
      <x:c r="AD9" s="10" t="n">
        <x:v>203.9995104</x:v>
      </x:c>
      <x:c r="AE9" s="10" t="n">
        <x:v>199.99952</x:v>
      </x:c>
      <x:c r="AF9" s="10" t="n">
        <x:v>3.640227449</x:v>
      </x:c>
      <x:c r="AG9" s="10" t="n">
        <x:v>0.099045787</x:v>
      </x:c>
      <x:c r="AH9" s="10" t="n">
        <x:v>0</x:v>
      </x:c>
      <x:c r="AI9" s="4" t="n">
        <x:v>178571</x:v>
      </x:c>
      <x:c r="AJ9" s="4" t="n">
        <x:v>178571</x:v>
      </x:c>
      <x:c r="AK9" s="4" t="n">
        <x:v>254999388</x:v>
      </x:c>
      <x:c r="AL9" s="4" t="n">
        <x:v>0</x:v>
      </x:c>
      <x:c r="AM9" s="4" t="str">
        <x:v>experiments/execution_171/batch_dataset.csv</x:v>
      </x:c>
    </x:row>
    <x:row r="10" ht="23" customHeight="1">
      <x:c r="A10" s="4" t="str">
        <x:v>success</x:v>
      </x:c>
      <x:c r="B10" s="4" t="n">
        <x:v>2</x:v>
      </x:c>
      <x:c r="C10" s="4" t="str">
        <x:v>harq_retx_3_run_4</x:v>
      </x:c>
      <x:c r="D10" s="4" t="n">
        <x:v>172</x:v>
      </x:c>
      <x:c r="E10" s="4" t="str">
        <x:v>ns3</x:v>
      </x:c>
      <x:c r="F10" s="4" t="str">
        <x:v>experiments/execution_172/experiment_2/config.json</x:v>
      </x:c>
      <x:c r="G10" s="4" t="str">
        <x:v>experiments/execution_172/experiment_2/results.json</x:v>
      </x:c>
      <x:c r="H10" s="4" t="str">
        <x:v>/home/dinos/ns-allinone-3.47/ns-3.47/experiments/execution_172/experiment_2</x:v>
      </x:c>
      <x:c r="I10" s="5" t="b">
        <x:v>1</x:v>
      </x:c>
      <x:c r="J10" s="4" t="n">
        <x:v>3</x:v>
      </x:c>
      <x:c r="K10" s="4" t="n">
        <x:v>16</x:v>
      </x:c>
      <x:c r="L10" s="4" t="str">
        <x:v>Cosine</x:v>
      </x:c>
      <x:c r="M10" s="4" t="n">
        <x:v>0</x:v>
      </x:c>
      <x:c r="N10" s="4" t="n">
        <x:v>0</x:v>
      </x:c>
      <x:c r="O10" s="4" t="n">
        <x:v>120</x:v>
      </x:c>
      <x:c r="P10" s="4" t="n">
        <x:v>360</x:v>
      </x:c>
      <x:c r="Q10" s="4" t="n">
        <x:v>0</x:v>
      </x:c>
      <x:c r="R10" s="4" t="n">
        <x:v>3500000000</x:v>
      </x:c>
      <x:c r="S10" s="4" t="n">
        <x:v>100</x:v>
      </x:c>
      <x:c r="T10" s="4" t="n">
        <x:v>100.3605998</x:v>
      </x:c>
      <x:c r="U10" s="4" t="n">
        <x:v>10</x:v>
      </x:c>
      <x:c r="V10" s="4" t="n">
        <x:v>200</x:v>
      </x:c>
      <x:c r="W10" s="4" t="n">
        <x:v>100000000</x:v>
      </x:c>
      <x:c r="X10" s="4" t="n">
        <x:v>2</x:v>
      </x:c>
      <x:c r="Y10" s="4" t="str">
        <x:v>DL|UL|UL|UL|</x:v>
      </x:c>
      <x:c r="Z10" s="4" t="n">
        <x:v>1400</x:v>
      </x:c>
      <x:c r="AA10" s="4" t="n">
        <x:v>1048576</x:v>
      </x:c>
      <x:c r="AB10" s="4" t="n">
        <x:v>42</x:v>
      </x:c>
      <x:c r="AC10" s="4" t="n">
        <x:v>4</x:v>
      </x:c>
      <x:c r="AD10" s="10" t="n">
        <x:v>203.9995104</x:v>
      </x:c>
      <x:c r="AE10" s="10" t="n">
        <x:v>199.99952</x:v>
      </x:c>
      <x:c r="AF10" s="10" t="n">
        <x:v>3.640709699</x:v>
      </x:c>
      <x:c r="AG10" s="10" t="n">
        <x:v>0.099028799</x:v>
      </x:c>
      <x:c r="AH10" s="10" t="n">
        <x:v>0</x:v>
      </x:c>
      <x:c r="AI10" s="4" t="n">
        <x:v>178571</x:v>
      </x:c>
      <x:c r="AJ10" s="4" t="n">
        <x:v>178571</x:v>
      </x:c>
      <x:c r="AK10" s="4" t="n">
        <x:v>254999388</x:v>
      </x:c>
      <x:c r="AL10" s="4" t="n">
        <x:v>0</x:v>
      </x:c>
      <x:c r="AM10" s="4" t="str">
        <x:v>experiments/execution_172/batch_dataset.csv</x:v>
      </x:c>
    </x:row>
    <x:row r="11" ht="23" customHeight="1">
      <x:c r="A11" s="4" t="str">
        <x:v>success</x:v>
      </x:c>
      <x:c r="B11" s="4" t="n">
        <x:v>2</x:v>
      </x:c>
      <x:c r="C11" s="4" t="str">
        <x:v>harq_retx_3_run_5</x:v>
      </x:c>
      <x:c r="D11" s="4" t="n">
        <x:v>173</x:v>
      </x:c>
      <x:c r="E11" s="4" t="str">
        <x:v>ns3</x:v>
      </x:c>
      <x:c r="F11" s="4" t="str">
        <x:v>experiments/execution_173/experiment_2/config.json</x:v>
      </x:c>
      <x:c r="G11" s="4" t="str">
        <x:v>experiments/execution_173/experiment_2/results.json</x:v>
      </x:c>
      <x:c r="H11" s="4" t="str">
        <x:v>/home/dinos/ns-allinone-3.47/ns-3.47/experiments/execution_173/experiment_2</x:v>
      </x:c>
      <x:c r="I11" s="5" t="b">
        <x:v>1</x:v>
      </x:c>
      <x:c r="J11" s="4" t="n">
        <x:v>3</x:v>
      </x:c>
      <x:c r="K11" s="4" t="n">
        <x:v>16</x:v>
      </x:c>
      <x:c r="L11" s="4" t="str">
        <x:v>Cosine</x:v>
      </x:c>
      <x:c r="M11" s="4" t="n">
        <x:v>0</x:v>
      </x:c>
      <x:c r="N11" s="4" t="n">
        <x:v>0</x:v>
      </x:c>
      <x:c r="O11" s="4" t="n">
        <x:v>120</x:v>
      </x:c>
      <x:c r="P11" s="4" t="n">
        <x:v>360</x:v>
      </x:c>
      <x:c r="Q11" s="4" t="n">
        <x:v>0</x:v>
      </x:c>
      <x:c r="R11" s="4" t="n">
        <x:v>3500000000</x:v>
      </x:c>
      <x:c r="S11" s="4" t="n">
        <x:v>100</x:v>
      </x:c>
      <x:c r="T11" s="4" t="n">
        <x:v>100.3605998</x:v>
      </x:c>
      <x:c r="U11" s="4" t="n">
        <x:v>10</x:v>
      </x:c>
      <x:c r="V11" s="4" t="n">
        <x:v>200</x:v>
      </x:c>
      <x:c r="W11" s="4" t="n">
        <x:v>100000000</x:v>
      </x:c>
      <x:c r="X11" s="4" t="n">
        <x:v>2</x:v>
      </x:c>
      <x:c r="Y11" s="4" t="str">
        <x:v>DL|UL|UL|UL|</x:v>
      </x:c>
      <x:c r="Z11" s="4" t="n">
        <x:v>1400</x:v>
      </x:c>
      <x:c r="AA11" s="4" t="n">
        <x:v>1048576</x:v>
      </x:c>
      <x:c r="AB11" s="4" t="n">
        <x:v>42</x:v>
      </x:c>
      <x:c r="AC11" s="4" t="n">
        <x:v>5</x:v>
      </x:c>
      <x:c r="AD11" s="10" t="n">
        <x:v>203.9995104</x:v>
      </x:c>
      <x:c r="AE11" s="10" t="n">
        <x:v>199.99952</x:v>
      </x:c>
      <x:c r="AF11" s="10" t="n">
        <x:v>3.645256648</x:v>
      </x:c>
      <x:c r="AG11" s="10" t="n">
        <x:v>0.099023061</x:v>
      </x:c>
      <x:c r="AH11" s="10" t="n">
        <x:v>0</x:v>
      </x:c>
      <x:c r="AI11" s="4" t="n">
        <x:v>178571</x:v>
      </x:c>
      <x:c r="AJ11" s="4" t="n">
        <x:v>178571</x:v>
      </x:c>
      <x:c r="AK11" s="4" t="n">
        <x:v>254999388</x:v>
      </x:c>
      <x:c r="AL11" s="4" t="n">
        <x:v>0</x:v>
      </x:c>
      <x:c r="AM11" s="4" t="str">
        <x:v>experiments/execution_173/batch_dataset.csv</x:v>
      </x:c>
    </x:row>
  </x:sheetData>
  <x:pageMargins left="0.7" right="0.7" top="0.75" bottom="0.75" header="0.3" footer="0.3"/>
  <x:tableParts count="1">
    <x:tablePart xmlns:r="http://schemas.openxmlformats.org/officeDocument/2006/relationships" r:id="Rde6d85f13385427e"/>
  </x:tableParts>
</x:worksheet>
</file>

<file path=xl/worksheets/sheet4.xml><?xml version="1.0" encoding="utf-8"?>
<x:worksheet xmlns:x="http://schemas.openxmlformats.org/spreadsheetml/2006/main">
  <x:sheetPr>
    <x:tabColor rgb="FF234B70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36" hidden="0" customWidth="1"/>
    <x:col min="4" max="4" width="22" hidden="0" customWidth="1"/>
    <x:col min="5" max="5" width="22" hidden="0" customWidth="1"/>
    <x:col min="6" max="6" width="70" hidden="0" customWidth="1"/>
    <x:col min="7" max="7" width="70" hidden="0" customWidth="1"/>
    <x:col min="8" max="8" width="70" hidden="0" customWidth="1"/>
    <x:col min="9" max="9" width="22" hidden="0" customWidth="1"/>
    <x:col min="10" max="10" width="22" hidden="0" customWidth="1"/>
    <x:col min="11" max="11" width="22" hidden="0" customWidth="1"/>
    <x:col min="12" max="12" width="22" hidden="0" customWidth="1"/>
    <x:col min="13" max="13" width="22" hidden="0" customWidth="1"/>
    <x:col min="14" max="14" width="22" hidden="0" customWidth="1"/>
    <x:col min="15" max="15" width="22" hidden="0" customWidth="1"/>
    <x:col min="16" max="16" width="22" hidden="0" customWidth="1"/>
    <x:col min="17" max="17" width="22" hidden="0" customWidth="1"/>
    <x:col min="18" max="18" width="22" hidden="0" customWidth="1"/>
    <x:col min="19" max="19" width="22" hidden="0" customWidth="1"/>
    <x:col min="20" max="20" width="22" hidden="0" customWidth="1"/>
    <x:col min="21" max="21" width="22" hidden="0" customWidth="1"/>
    <x:col min="22" max="22" width="22" hidden="0" customWidth="1"/>
    <x:col min="23" max="23" width="22" hidden="0" customWidth="1"/>
    <x:col min="24" max="24" width="22" hidden="0" customWidth="1"/>
    <x:col min="25" max="25" width="22" hidden="0" customWidth="1"/>
    <x:col min="26" max="26" width="22" hidden="0" customWidth="1"/>
    <x:col min="27" max="27" width="22" hidden="0" customWidth="1"/>
    <x:col min="28" max="28" width="22" hidden="0" customWidth="1"/>
    <x:col min="29" max="29" width="22" hidden="0" customWidth="1"/>
    <x:col min="30" max="30" width="22" hidden="0" customWidth="1"/>
    <x:col min="31" max="31" width="22" hidden="0" customWidth="1"/>
    <x:col min="32" max="32" width="22" hidden="0" customWidth="1"/>
    <x:col min="33" max="33" width="22" hidden="0" customWidth="1"/>
    <x:col min="34" max="34" width="22" hidden="0" customWidth="1"/>
    <x:col min="35" max="35" width="22" hidden="0" customWidth="1"/>
    <x:col min="36" max="36" width="22" hidden="0" customWidth="1"/>
    <x:col min="37" max="37" width="22" hidden="0" customWidth="1"/>
    <x:col min="38" max="38" width="22" hidden="0" customWidth="1"/>
    <x:col min="39" max="39" width="70" hidden="0" customWidth="1"/>
  </x:cols>
  <x:sheetData>
    <x:row r="1" ht="76" customHeight="1">
      <x:c r="A1" s="9" t="str">
        <x:v>status</x:v>
      </x:c>
      <x:c r="B1" s="9" t="str">
        <x:v>experiment_index</x:v>
      </x:c>
      <x:c r="C1" s="9" t="str">
        <x:v>experiment_id</x:v>
      </x:c>
      <x:c r="D1" s="9" t="str">
        <x:v>n8n_execution_id</x:v>
      </x:c>
      <x:c r="E1" s="9" t="str">
        <x:v>data_source</x:v>
      </x:c>
      <x:c r="F1" s="9" t="str">
        <x:v>config_path</x:v>
      </x:c>
      <x:c r="G1" s="9" t="str">
        <x:v>results_path</x:v>
      </x:c>
      <x:c r="H1" s="9" t="str">
        <x:v>experiment_dir</x:v>
      </x:c>
      <x:c r="I1" s="9" t="str">
        <x:v>harq_enabled</x:v>
      </x:c>
      <x:c r="J1" s="9" t="str">
        <x:v>harq_max_retransmissions</x:v>
      </x:c>
      <x:c r="K1" s="9" t="str">
        <x:v>harq_processes</x:v>
      </x:c>
      <x:c r="L1" s="9" t="str">
        <x:v>gnb_antenna_model</x:v>
      </x:c>
      <x:c r="M1" s="9" t="str">
        <x:v>gnb_antenna_max_gain_dbi</x:v>
      </x:c>
      <x:c r="N1" s="9" t="str">
        <x:v>gnb_antenna_orientation_deg</x:v>
      </x:c>
      <x:c r="O1" s="9" t="str">
        <x:v>gnb_antenna_horizontal_beamwidth_deg</x:v>
      </x:c>
      <x:c r="P1" s="9" t="str">
        <x:v>gnb_antenna_vertical_beamwidth_deg</x:v>
      </x:c>
      <x:c r="Q1" s="9" t="str">
        <x:v>gnb_antenna_effective_gain_toward_ue_db</x:v>
      </x:c>
      <x:c r="R1" s="9" t="str">
        <x:v>carrier_frequency_hz</x:v>
      </x:c>
      <x:c r="S1" s="9" t="str">
        <x:v>ue_distance_2d_m</x:v>
      </x:c>
      <x:c r="T1" s="9" t="str">
        <x:v>ue_distance_3d_m</x:v>
      </x:c>
      <x:c r="U1" s="9" t="str">
        <x:v>ue_tx_power_dbm</x:v>
      </x:c>
      <x:c r="V1" s="9" t="str">
        <x:v>offered_load_mbps</x:v>
      </x:c>
      <x:c r="W1" s="9" t="str">
        <x:v>bandwidth_hz</x:v>
      </x:c>
      <x:c r="X1" s="9" t="str">
        <x:v>numerology</x:v>
      </x:c>
      <x:c r="Y1" s="9" t="str">
        <x:v>tdd_pattern</x:v>
      </x:c>
      <x:c r="Z1" s="9" t="str">
        <x:v>packet_size_bytes</x:v>
      </x:c>
      <x:c r="AA1" s="9" t="str">
        <x:v>rlc_buffer_size_bytes</x:v>
      </x:c>
      <x:c r="AB1" s="9" t="str">
        <x:v>rng_seed</x:v>
      </x:c>
      <x:c r="AC1" s="9" t="str">
        <x:v>rng_run</x:v>
      </x:c>
      <x:c r="AD1" s="9" t="str">
        <x:v>throughput_mbps</x:v>
      </x:c>
      <x:c r="AE1" s="9" t="str">
        <x:v>app_goodput_mbps</x:v>
      </x:c>
      <x:c r="AF1" s="9" t="str">
        <x:v>end_to_end_delay_ms</x:v>
      </x:c>
      <x:c r="AG1" s="9" t="str">
        <x:v>jitter_ms</x:v>
      </x:c>
      <x:c r="AH1" s="9" t="str">
        <x:v>loss_fraction</x:v>
      </x:c>
      <x:c r="AI1" s="9" t="str">
        <x:v>tx_packets</x:v>
      </x:c>
      <x:c r="AJ1" s="9" t="str">
        <x:v>rx_packets</x:v>
      </x:c>
      <x:c r="AK1" s="9" t="str">
        <x:v>ip_rx_bytes</x:v>
      </x:c>
      <x:c r="AL1" s="9" t="str">
        <x:v>unreceived_packets_after_drain</x:v>
      </x:c>
      <x:c r="AM1" s="9" t="str">
        <x:v>source_csv</x:v>
      </x:c>
    </x:row>
    <x:row r="2" ht="23" customHeight="1">
      <x:c r="A2" s="4" t="str">
        <x:v>success</x:v>
      </x:c>
      <x:c r="B2" s="4" t="n">
        <x:v>2</x:v>
      </x:c>
      <x:c r="C2" s="4" t="str">
        <x:v>harq_processes_2_run_1</x:v>
      </x:c>
      <x:c r="D2" s="4" t="n">
        <x:v>175</x:v>
      </x:c>
      <x:c r="E2" s="4" t="str">
        <x:v>ns3</x:v>
      </x:c>
      <x:c r="F2" s="4" t="str">
        <x:v>experiments/execution_175/experiment_2/config.json</x:v>
      </x:c>
      <x:c r="G2" s="4" t="str">
        <x:v>experiments/execution_175/experiment_2/results.json</x:v>
      </x:c>
      <x:c r="H2" s="4" t="str">
        <x:v>/home/dinos/ns-allinone-3.47/ns-3.47/experiments/execution_175/experiment_2</x:v>
      </x:c>
      <x:c r="I2" s="5" t="b">
        <x:v>1</x:v>
      </x:c>
      <x:c r="J2" s="4" t="n">
        <x:v>3</x:v>
      </x:c>
      <x:c r="K2" s="4" t="n">
        <x:v>2</x:v>
      </x:c>
      <x:c r="L2" s="4" t="str">
        <x:v>Cosine</x:v>
      </x:c>
      <x:c r="M2" s="4" t="n">
        <x:v>0</x:v>
      </x:c>
      <x:c r="N2" s="4" t="n">
        <x:v>0</x:v>
      </x:c>
      <x:c r="O2" s="4" t="n">
        <x:v>120</x:v>
      </x:c>
      <x:c r="P2" s="4" t="n">
        <x:v>360</x:v>
      </x:c>
      <x:c r="Q2" s="4" t="n">
        <x:v>0</x:v>
      </x:c>
      <x:c r="R2" s="4" t="n">
        <x:v>3500000000</x:v>
      </x:c>
      <x:c r="S2" s="4" t="n">
        <x:v>100</x:v>
      </x:c>
      <x:c r="T2" s="4" t="n">
        <x:v>100.3605998</x:v>
      </x:c>
      <x:c r="U2" s="4" t="n">
        <x:v>10</x:v>
      </x:c>
      <x:c r="V2" s="4" t="n">
        <x:v>200</x:v>
      </x:c>
      <x:c r="W2" s="4" t="n">
        <x:v>100000000</x:v>
      </x:c>
      <x:c r="X2" s="4" t="n">
        <x:v>2</x:v>
      </x:c>
      <x:c r="Y2" s="4" t="str">
        <x:v>DL|UL|UL|UL|</x:v>
      </x:c>
      <x:c r="Z2" s="4" t="n">
        <x:v>1400</x:v>
      </x:c>
      <x:c r="AA2" s="4" t="n">
        <x:v>1048576</x:v>
      </x:c>
      <x:c r="AB2" s="4" t="n">
        <x:v>42</x:v>
      </x:c>
      <x:c r="AC2" s="4" t="n">
        <x:v>1</x:v>
      </x:c>
      <x:c r="AD2" s="10" t="n">
        <x:v>159.3853632</x:v>
      </x:c>
      <x:c r="AE2" s="10" t="n">
        <x:v>156.26016</x:v>
      </x:c>
      <x:c r="AF2" s="10" t="n">
        <x:v>53.90811138</x:v>
      </x:c>
      <x:c r="AG2" s="10" t="n">
        <x:v>0.129519917</x:v>
      </x:c>
      <x:c r="AH2" s="10" t="n">
        <x:v>0.218697325</x:v>
      </x:c>
      <x:c r="AI2" s="4" t="n">
        <x:v>178571</x:v>
      </x:c>
      <x:c r="AJ2" s="4" t="n">
        <x:v>139518</x:v>
      </x:c>
      <x:c r="AK2" s="4" t="n">
        <x:v>199231704</x:v>
      </x:c>
      <x:c r="AL2" s="4" t="n">
        <x:v>39053</x:v>
      </x:c>
      <x:c r="AM2" s="4" t="str">
        <x:v>experiments/execution_175/batch_dataset.csv</x:v>
      </x:c>
    </x:row>
    <x:row r="3" ht="23" customHeight="1">
      <x:c r="A3" s="4" t="str">
        <x:v>success</x:v>
      </x:c>
      <x:c r="B3" s="4" t="n">
        <x:v>2</x:v>
      </x:c>
      <x:c r="C3" s="4" t="str">
        <x:v>harq_processes_2_run_2</x:v>
      </x:c>
      <x:c r="D3" s="4" t="n">
        <x:v>176</x:v>
      </x:c>
      <x:c r="E3" s="4" t="str">
        <x:v>ns3</x:v>
      </x:c>
      <x:c r="F3" s="4" t="str">
        <x:v>experiments/execution_176/experiment_2/config.json</x:v>
      </x:c>
      <x:c r="G3" s="4" t="str">
        <x:v>experiments/execution_176/experiment_2/results.json</x:v>
      </x:c>
      <x:c r="H3" s="4" t="str">
        <x:v>/home/dinos/ns-allinone-3.47/ns-3.47/experiments/execution_176/experiment_2</x:v>
      </x:c>
      <x:c r="I3" s="5" t="b">
        <x:v>1</x:v>
      </x:c>
      <x:c r="J3" s="4" t="n">
        <x:v>3</x:v>
      </x:c>
      <x:c r="K3" s="4" t="n">
        <x:v>2</x:v>
      </x:c>
      <x:c r="L3" s="4" t="str">
        <x:v>Cosine</x:v>
      </x:c>
      <x:c r="M3" s="4" t="n">
        <x:v>0</x:v>
      </x:c>
      <x:c r="N3" s="4" t="n">
        <x:v>0</x:v>
      </x:c>
      <x:c r="O3" s="4" t="n">
        <x:v>120</x:v>
      </x:c>
      <x:c r="P3" s="4" t="n">
        <x:v>360</x:v>
      </x:c>
      <x:c r="Q3" s="4" t="n">
        <x:v>0</x:v>
      </x:c>
      <x:c r="R3" s="4" t="n">
        <x:v>3500000000</x:v>
      </x:c>
      <x:c r="S3" s="4" t="n">
        <x:v>100</x:v>
      </x:c>
      <x:c r="T3" s="4" t="n">
        <x:v>100.3605998</x:v>
      </x:c>
      <x:c r="U3" s="4" t="n">
        <x:v>10</x:v>
      </x:c>
      <x:c r="V3" s="4" t="n">
        <x:v>200</x:v>
      </x:c>
      <x:c r="W3" s="4" t="n">
        <x:v>100000000</x:v>
      </x:c>
      <x:c r="X3" s="4" t="n">
        <x:v>2</x:v>
      </x:c>
      <x:c r="Y3" s="4" t="str">
        <x:v>DL|UL|UL|UL|</x:v>
      </x:c>
      <x:c r="Z3" s="4" t="n">
        <x:v>1400</x:v>
      </x:c>
      <x:c r="AA3" s="4" t="n">
        <x:v>1048576</x:v>
      </x:c>
      <x:c r="AB3" s="4" t="n">
        <x:v>42</x:v>
      </x:c>
      <x:c r="AC3" s="4" t="n">
        <x:v>2</x:v>
      </x:c>
      <x:c r="AD3" s="10" t="n">
        <x:v>159.3853632</x:v>
      </x:c>
      <x:c r="AE3" s="10" t="n">
        <x:v>156.26016</x:v>
      </x:c>
      <x:c r="AF3" s="10" t="n">
        <x:v>53.90757378</x:v>
      </x:c>
      <x:c r="AG3" s="10" t="n">
        <x:v>0.129488701</x:v>
      </x:c>
      <x:c r="AH3" s="10" t="n">
        <x:v>0.218697325</x:v>
      </x:c>
      <x:c r="AI3" s="4" t="n">
        <x:v>178571</x:v>
      </x:c>
      <x:c r="AJ3" s="4" t="n">
        <x:v>139518</x:v>
      </x:c>
      <x:c r="AK3" s="4" t="n">
        <x:v>199231704</x:v>
      </x:c>
      <x:c r="AL3" s="4" t="n">
        <x:v>39053</x:v>
      </x:c>
      <x:c r="AM3" s="4" t="str">
        <x:v>experiments/execution_176/batch_dataset.csv</x:v>
      </x:c>
    </x:row>
    <x:row r="4" ht="23" customHeight="1">
      <x:c r="A4" s="4" t="str">
        <x:v>success</x:v>
      </x:c>
      <x:c r="B4" s="4" t="n">
        <x:v>2</x:v>
      </x:c>
      <x:c r="C4" s="4" t="str">
        <x:v>harq_processes_2_run_3</x:v>
      </x:c>
      <x:c r="D4" s="4" t="n">
        <x:v>177</x:v>
      </x:c>
      <x:c r="E4" s="4" t="str">
        <x:v>ns3</x:v>
      </x:c>
      <x:c r="F4" s="4" t="str">
        <x:v>experiments/execution_177/experiment_2/config.json</x:v>
      </x:c>
      <x:c r="G4" s="4" t="str">
        <x:v>experiments/execution_177/experiment_2/results.json</x:v>
      </x:c>
      <x:c r="H4" s="4" t="str">
        <x:v>/home/dinos/ns-allinone-3.47/ns-3.47/experiments/execution_177/experiment_2</x:v>
      </x:c>
      <x:c r="I4" s="5" t="b">
        <x:v>1</x:v>
      </x:c>
      <x:c r="J4" s="4" t="n">
        <x:v>3</x:v>
      </x:c>
      <x:c r="K4" s="4" t="n">
        <x:v>2</x:v>
      </x:c>
      <x:c r="L4" s="4" t="str">
        <x:v>Cosine</x:v>
      </x:c>
      <x:c r="M4" s="4" t="n">
        <x:v>0</x:v>
      </x:c>
      <x:c r="N4" s="4" t="n">
        <x:v>0</x:v>
      </x:c>
      <x:c r="O4" s="4" t="n">
        <x:v>120</x:v>
      </x:c>
      <x:c r="P4" s="4" t="n">
        <x:v>360</x:v>
      </x:c>
      <x:c r="Q4" s="4" t="n">
        <x:v>0</x:v>
      </x:c>
      <x:c r="R4" s="4" t="n">
        <x:v>3500000000</x:v>
      </x:c>
      <x:c r="S4" s="4" t="n">
        <x:v>100</x:v>
      </x:c>
      <x:c r="T4" s="4" t="n">
        <x:v>100.3605998</x:v>
      </x:c>
      <x:c r="U4" s="4" t="n">
        <x:v>10</x:v>
      </x:c>
      <x:c r="V4" s="4" t="n">
        <x:v>200</x:v>
      </x:c>
      <x:c r="W4" s="4" t="n">
        <x:v>100000000</x:v>
      </x:c>
      <x:c r="X4" s="4" t="n">
        <x:v>2</x:v>
      </x:c>
      <x:c r="Y4" s="4" t="str">
        <x:v>DL|UL|UL|UL|</x:v>
      </x:c>
      <x:c r="Z4" s="4" t="n">
        <x:v>1400</x:v>
      </x:c>
      <x:c r="AA4" s="4" t="n">
        <x:v>1048576</x:v>
      </x:c>
      <x:c r="AB4" s="4" t="n">
        <x:v>42</x:v>
      </x:c>
      <x:c r="AC4" s="4" t="n">
        <x:v>3</x:v>
      </x:c>
      <x:c r="AD4" s="10" t="n">
        <x:v>159.3853632</x:v>
      </x:c>
      <x:c r="AE4" s="10" t="n">
        <x:v>156.26016</x:v>
      </x:c>
      <x:c r="AF4" s="10" t="n">
        <x:v>53.90801501</x:v>
      </x:c>
      <x:c r="AG4" s="10" t="n">
        <x:v>0.129501496</x:v>
      </x:c>
      <x:c r="AH4" s="10" t="n">
        <x:v>0.218697325</x:v>
      </x:c>
      <x:c r="AI4" s="4" t="n">
        <x:v>178571</x:v>
      </x:c>
      <x:c r="AJ4" s="4" t="n">
        <x:v>139518</x:v>
      </x:c>
      <x:c r="AK4" s="4" t="n">
        <x:v>199231704</x:v>
      </x:c>
      <x:c r="AL4" s="4" t="n">
        <x:v>39053</x:v>
      </x:c>
      <x:c r="AM4" s="4" t="str">
        <x:v>experiments/execution_177/batch_dataset.csv</x:v>
      </x:c>
    </x:row>
    <x:row r="5" ht="23" customHeight="1">
      <x:c r="A5" s="4" t="str">
        <x:v>success</x:v>
      </x:c>
      <x:c r="B5" s="4" t="n">
        <x:v>2</x:v>
      </x:c>
      <x:c r="C5" s="4" t="str">
        <x:v>harq_processes_2_run_4</x:v>
      </x:c>
      <x:c r="D5" s="4" t="n">
        <x:v>178</x:v>
      </x:c>
      <x:c r="E5" s="4" t="str">
        <x:v>ns3</x:v>
      </x:c>
      <x:c r="F5" s="4" t="str">
        <x:v>experiments/execution_178/experiment_2/config.json</x:v>
      </x:c>
      <x:c r="G5" s="4" t="str">
        <x:v>experiments/execution_178/experiment_2/results.json</x:v>
      </x:c>
      <x:c r="H5" s="4" t="str">
        <x:v>/home/dinos/ns-allinone-3.47/ns-3.47/experiments/execution_178/experiment_2</x:v>
      </x:c>
      <x:c r="I5" s="5" t="b">
        <x:v>1</x:v>
      </x:c>
      <x:c r="J5" s="4" t="n">
        <x:v>3</x:v>
      </x:c>
      <x:c r="K5" s="4" t="n">
        <x:v>2</x:v>
      </x:c>
      <x:c r="L5" s="4" t="str">
        <x:v>Cosine</x:v>
      </x:c>
      <x:c r="M5" s="4" t="n">
        <x:v>0</x:v>
      </x:c>
      <x:c r="N5" s="4" t="n">
        <x:v>0</x:v>
      </x:c>
      <x:c r="O5" s="4" t="n">
        <x:v>120</x:v>
      </x:c>
      <x:c r="P5" s="4" t="n">
        <x:v>360</x:v>
      </x:c>
      <x:c r="Q5" s="4" t="n">
        <x:v>0</x:v>
      </x:c>
      <x:c r="R5" s="4" t="n">
        <x:v>3500000000</x:v>
      </x:c>
      <x:c r="S5" s="4" t="n">
        <x:v>100</x:v>
      </x:c>
      <x:c r="T5" s="4" t="n">
        <x:v>100.3605998</x:v>
      </x:c>
      <x:c r="U5" s="4" t="n">
        <x:v>10</x:v>
      </x:c>
      <x:c r="V5" s="4" t="n">
        <x:v>200</x:v>
      </x:c>
      <x:c r="W5" s="4" t="n">
        <x:v>100000000</x:v>
      </x:c>
      <x:c r="X5" s="4" t="n">
        <x:v>2</x:v>
      </x:c>
      <x:c r="Y5" s="4" t="str">
        <x:v>DL|UL|UL|UL|</x:v>
      </x:c>
      <x:c r="Z5" s="4" t="n">
        <x:v>1400</x:v>
      </x:c>
      <x:c r="AA5" s="4" t="n">
        <x:v>1048576</x:v>
      </x:c>
      <x:c r="AB5" s="4" t="n">
        <x:v>42</x:v>
      </x:c>
      <x:c r="AC5" s="4" t="n">
        <x:v>4</x:v>
      </x:c>
      <x:c r="AD5" s="10" t="n">
        <x:v>159.3853632</x:v>
      </x:c>
      <x:c r="AE5" s="10" t="n">
        <x:v>156.26016</x:v>
      </x:c>
      <x:c r="AF5" s="10" t="n">
        <x:v>53.90725983</x:v>
      </x:c>
      <x:c r="AG5" s="10" t="n">
        <x:v>0.12947927</x:v>
      </x:c>
      <x:c r="AH5" s="10" t="n">
        <x:v>0.218697325</x:v>
      </x:c>
      <x:c r="AI5" s="4" t="n">
        <x:v>178571</x:v>
      </x:c>
      <x:c r="AJ5" s="4" t="n">
        <x:v>139518</x:v>
      </x:c>
      <x:c r="AK5" s="4" t="n">
        <x:v>199231704</x:v>
      </x:c>
      <x:c r="AL5" s="4" t="n">
        <x:v>39053</x:v>
      </x:c>
      <x:c r="AM5" s="4" t="str">
        <x:v>experiments/execution_178/batch_dataset.csv</x:v>
      </x:c>
    </x:row>
    <x:row r="6" ht="23" customHeight="1">
      <x:c r="A6" s="4" t="str">
        <x:v>success</x:v>
      </x:c>
      <x:c r="B6" s="4" t="n">
        <x:v>2</x:v>
      </x:c>
      <x:c r="C6" s="4" t="str">
        <x:v>harq_processes_2_run_5</x:v>
      </x:c>
      <x:c r="D6" s="4" t="n">
        <x:v>179</x:v>
      </x:c>
      <x:c r="E6" s="4" t="str">
        <x:v>ns3</x:v>
      </x:c>
      <x:c r="F6" s="4" t="str">
        <x:v>experiments/execution_179/experiment_2/config.json</x:v>
      </x:c>
      <x:c r="G6" s="4" t="str">
        <x:v>experiments/execution_179/experiment_2/results.json</x:v>
      </x:c>
      <x:c r="H6" s="4" t="str">
        <x:v>/home/dinos/ns-allinone-3.47/ns-3.47/experiments/execution_179/experiment_2</x:v>
      </x:c>
      <x:c r="I6" s="5" t="b">
        <x:v>1</x:v>
      </x:c>
      <x:c r="J6" s="4" t="n">
        <x:v>3</x:v>
      </x:c>
      <x:c r="K6" s="4" t="n">
        <x:v>2</x:v>
      </x:c>
      <x:c r="L6" s="4" t="str">
        <x:v>Cosine</x:v>
      </x:c>
      <x:c r="M6" s="4" t="n">
        <x:v>0</x:v>
      </x:c>
      <x:c r="N6" s="4" t="n">
        <x:v>0</x:v>
      </x:c>
      <x:c r="O6" s="4" t="n">
        <x:v>120</x:v>
      </x:c>
      <x:c r="P6" s="4" t="n">
        <x:v>360</x:v>
      </x:c>
      <x:c r="Q6" s="4" t="n">
        <x:v>0</x:v>
      </x:c>
      <x:c r="R6" s="4" t="n">
        <x:v>3500000000</x:v>
      </x:c>
      <x:c r="S6" s="4" t="n">
        <x:v>100</x:v>
      </x:c>
      <x:c r="T6" s="4" t="n">
        <x:v>100.3605998</x:v>
      </x:c>
      <x:c r="U6" s="4" t="n">
        <x:v>10</x:v>
      </x:c>
      <x:c r="V6" s="4" t="n">
        <x:v>200</x:v>
      </x:c>
      <x:c r="W6" s="4" t="n">
        <x:v>100000000</x:v>
      </x:c>
      <x:c r="X6" s="4" t="n">
        <x:v>2</x:v>
      </x:c>
      <x:c r="Y6" s="4" t="str">
        <x:v>DL|UL|UL|UL|</x:v>
      </x:c>
      <x:c r="Z6" s="4" t="n">
        <x:v>1400</x:v>
      </x:c>
      <x:c r="AA6" s="4" t="n">
        <x:v>1048576</x:v>
      </x:c>
      <x:c r="AB6" s="4" t="n">
        <x:v>42</x:v>
      </x:c>
      <x:c r="AC6" s="4" t="n">
        <x:v>5</x:v>
      </x:c>
      <x:c r="AD6" s="10" t="n">
        <x:v>159.3853632</x:v>
      </x:c>
      <x:c r="AE6" s="10" t="n">
        <x:v>156.26016</x:v>
      </x:c>
      <x:c r="AF6" s="10" t="n">
        <x:v>53.90795771</x:v>
      </x:c>
      <x:c r="AG6" s="10" t="n">
        <x:v>0.129501115</x:v>
      </x:c>
      <x:c r="AH6" s="10" t="n">
        <x:v>0.218697325</x:v>
      </x:c>
      <x:c r="AI6" s="4" t="n">
        <x:v>178571</x:v>
      </x:c>
      <x:c r="AJ6" s="4" t="n">
        <x:v>139518</x:v>
      </x:c>
      <x:c r="AK6" s="4" t="n">
        <x:v>199231704</x:v>
      </x:c>
      <x:c r="AL6" s="4" t="n">
        <x:v>39053</x:v>
      </x:c>
      <x:c r="AM6" s="4" t="str">
        <x:v>experiments/execution_179/batch_dataset.csv</x:v>
      </x:c>
    </x:row>
    <x:row r="7" ht="23" customHeight="1">
      <x:c r="A7" s="4" t="str">
        <x:v>success</x:v>
      </x:c>
      <x:c r="B7" s="4" t="n">
        <x:v>3</x:v>
      </x:c>
      <x:c r="C7" s="4" t="str">
        <x:v>harq_processes_4_run_1</x:v>
      </x:c>
      <x:c r="D7" s="4" t="n">
        <x:v>175</x:v>
      </x:c>
      <x:c r="E7" s="4" t="str">
        <x:v>ns3</x:v>
      </x:c>
      <x:c r="F7" s="4" t="str">
        <x:v>experiments/execution_175/experiment_3/config.json</x:v>
      </x:c>
      <x:c r="G7" s="4" t="str">
        <x:v>experiments/execution_175/experiment_3/results.json</x:v>
      </x:c>
      <x:c r="H7" s="4" t="str">
        <x:v>/home/dinos/ns-allinone-3.47/ns-3.47/experiments/execution_175/experiment_3</x:v>
      </x:c>
      <x:c r="I7" s="5" t="b">
        <x:v>1</x:v>
      </x:c>
      <x:c r="J7" s="4" t="n">
        <x:v>3</x:v>
      </x:c>
      <x:c r="K7" s="4" t="n">
        <x:v>4</x:v>
      </x:c>
      <x:c r="L7" s="4" t="str">
        <x:v>Cosine</x:v>
      </x:c>
      <x:c r="M7" s="4" t="n">
        <x:v>0</x:v>
      </x:c>
      <x:c r="N7" s="4" t="n">
        <x:v>0</x:v>
      </x:c>
      <x:c r="O7" s="4" t="n">
        <x:v>120</x:v>
      </x:c>
      <x:c r="P7" s="4" t="n">
        <x:v>360</x:v>
      </x:c>
      <x:c r="Q7" s="4" t="n">
        <x:v>0</x:v>
      </x:c>
      <x:c r="R7" s="4" t="n">
        <x:v>3500000000</x:v>
      </x:c>
      <x:c r="S7" s="4" t="n">
        <x:v>100</x:v>
      </x:c>
      <x:c r="T7" s="4" t="n">
        <x:v>100.3605998</x:v>
      </x:c>
      <x:c r="U7" s="4" t="n">
        <x:v>10</x:v>
      </x:c>
      <x:c r="V7" s="4" t="n">
        <x:v>200</x:v>
      </x:c>
      <x:c r="W7" s="4" t="n">
        <x:v>100000000</x:v>
      </x:c>
      <x:c r="X7" s="4" t="n">
        <x:v>2</x:v>
      </x:c>
      <x:c r="Y7" s="4" t="str">
        <x:v>DL|UL|UL|UL|</x:v>
      </x:c>
      <x:c r="Z7" s="4" t="n">
        <x:v>1400</x:v>
      </x:c>
      <x:c r="AA7" s="4" t="n">
        <x:v>1048576</x:v>
      </x:c>
      <x:c r="AB7" s="4" t="n">
        <x:v>42</x:v>
      </x:c>
      <x:c r="AC7" s="4" t="n">
        <x:v>1</x:v>
      </x:c>
      <x:c r="AD7" s="10" t="n">
        <x:v>198.0361824</x:v>
      </x:c>
      <x:c r="AE7" s="10" t="n">
        <x:v>194.15312</x:v>
      </x:c>
      <x:c r="AF7" s="10" t="n">
        <x:v>41.87928902</x:v>
      </x:c>
      <x:c r="AG7" s="10" t="n">
        <x:v>0.102735954</x:v>
      </x:c>
      <x:c r="AH7" s="10" t="n">
        <x:v>0.02923207</x:v>
      </x:c>
      <x:c r="AI7" s="4" t="n">
        <x:v>178571</x:v>
      </x:c>
      <x:c r="AJ7" s="4" t="n">
        <x:v>173351</x:v>
      </x:c>
      <x:c r="AK7" s="4" t="n">
        <x:v>247545228</x:v>
      </x:c>
      <x:c r="AL7" s="4" t="n">
        <x:v>5220</x:v>
      </x:c>
      <x:c r="AM7" s="4" t="str">
        <x:v>experiments/execution_175/batch_dataset.csv</x:v>
      </x:c>
    </x:row>
    <x:row r="8" ht="23" customHeight="1">
      <x:c r="A8" s="4" t="str">
        <x:v>success</x:v>
      </x:c>
      <x:c r="B8" s="4" t="n">
        <x:v>3</x:v>
      </x:c>
      <x:c r="C8" s="4" t="str">
        <x:v>harq_processes_4_run_2</x:v>
      </x:c>
      <x:c r="D8" s="4" t="n">
        <x:v>176</x:v>
      </x:c>
      <x:c r="E8" s="4" t="str">
        <x:v>ns3</x:v>
      </x:c>
      <x:c r="F8" s="4" t="str">
        <x:v>experiments/execution_176/experiment_3/config.json</x:v>
      </x:c>
      <x:c r="G8" s="4" t="str">
        <x:v>experiments/execution_176/experiment_3/results.json</x:v>
      </x:c>
      <x:c r="H8" s="4" t="str">
        <x:v>/home/dinos/ns-allinone-3.47/ns-3.47/experiments/execution_176/experiment_3</x:v>
      </x:c>
      <x:c r="I8" s="5" t="b">
        <x:v>1</x:v>
      </x:c>
      <x:c r="J8" s="4" t="n">
        <x:v>3</x:v>
      </x:c>
      <x:c r="K8" s="4" t="n">
        <x:v>4</x:v>
      </x:c>
      <x:c r="L8" s="4" t="str">
        <x:v>Cosine</x:v>
      </x:c>
      <x:c r="M8" s="4" t="n">
        <x:v>0</x:v>
      </x:c>
      <x:c r="N8" s="4" t="n">
        <x:v>0</x:v>
      </x:c>
      <x:c r="O8" s="4" t="n">
        <x:v>120</x:v>
      </x:c>
      <x:c r="P8" s="4" t="n">
        <x:v>360</x:v>
      </x:c>
      <x:c r="Q8" s="4" t="n">
        <x:v>0</x:v>
      </x:c>
      <x:c r="R8" s="4" t="n">
        <x:v>3500000000</x:v>
      </x:c>
      <x:c r="S8" s="4" t="n">
        <x:v>100</x:v>
      </x:c>
      <x:c r="T8" s="4" t="n">
        <x:v>100.3605998</x:v>
      </x:c>
      <x:c r="U8" s="4" t="n">
        <x:v>10</x:v>
      </x:c>
      <x:c r="V8" s="4" t="n">
        <x:v>200</x:v>
      </x:c>
      <x:c r="W8" s="4" t="n">
        <x:v>100000000</x:v>
      </x:c>
      <x:c r="X8" s="4" t="n">
        <x:v>2</x:v>
      </x:c>
      <x:c r="Y8" s="4" t="str">
        <x:v>DL|UL|UL|UL|</x:v>
      </x:c>
      <x:c r="Z8" s="4" t="n">
        <x:v>1400</x:v>
      </x:c>
      <x:c r="AA8" s="4" t="n">
        <x:v>1048576</x:v>
      </x:c>
      <x:c r="AB8" s="4" t="n">
        <x:v>42</x:v>
      </x:c>
      <x:c r="AC8" s="4" t="n">
        <x:v>2</x:v>
      </x:c>
      <x:c r="AD8" s="10" t="n">
        <x:v>198.0281856</x:v>
      </x:c>
      <x:c r="AE8" s="10" t="n">
        <x:v>194.14528</x:v>
      </x:c>
      <x:c r="AF8" s="10" t="n">
        <x:v>41.91426728</x:v>
      </x:c>
      <x:c r="AG8" s="10" t="n">
        <x:v>0.102718059</x:v>
      </x:c>
      <x:c r="AH8" s="10" t="n">
        <x:v>0.02927127</x:v>
      </x:c>
      <x:c r="AI8" s="4" t="n">
        <x:v>178571</x:v>
      </x:c>
      <x:c r="AJ8" s="4" t="n">
        <x:v>173344</x:v>
      </x:c>
      <x:c r="AK8" s="4" t="n">
        <x:v>247535232</x:v>
      </x:c>
      <x:c r="AL8" s="4" t="n">
        <x:v>5227</x:v>
      </x:c>
      <x:c r="AM8" s="4" t="str">
        <x:v>experiments/execution_176/batch_dataset.csv</x:v>
      </x:c>
    </x:row>
    <x:row r="9" ht="23" customHeight="1">
      <x:c r="A9" s="4" t="str">
        <x:v>success</x:v>
      </x:c>
      <x:c r="B9" s="4" t="n">
        <x:v>3</x:v>
      </x:c>
      <x:c r="C9" s="4" t="str">
        <x:v>harq_processes_4_run_3</x:v>
      </x:c>
      <x:c r="D9" s="4" t="n">
        <x:v>177</x:v>
      </x:c>
      <x:c r="E9" s="4" t="str">
        <x:v>ns3</x:v>
      </x:c>
      <x:c r="F9" s="4" t="str">
        <x:v>experiments/execution_177/experiment_3/config.json</x:v>
      </x:c>
      <x:c r="G9" s="4" t="str">
        <x:v>experiments/execution_177/experiment_3/results.json</x:v>
      </x:c>
      <x:c r="H9" s="4" t="str">
        <x:v>/home/dinos/ns-allinone-3.47/ns-3.47/experiments/execution_177/experiment_3</x:v>
      </x:c>
      <x:c r="I9" s="5" t="b">
        <x:v>1</x:v>
      </x:c>
      <x:c r="J9" s="4" t="n">
        <x:v>3</x:v>
      </x:c>
      <x:c r="K9" s="4" t="n">
        <x:v>4</x:v>
      </x:c>
      <x:c r="L9" s="4" t="str">
        <x:v>Cosine</x:v>
      </x:c>
      <x:c r="M9" s="4" t="n">
        <x:v>0</x:v>
      </x:c>
      <x:c r="N9" s="4" t="n">
        <x:v>0</x:v>
      </x:c>
      <x:c r="O9" s="4" t="n">
        <x:v>120</x:v>
      </x:c>
      <x:c r="P9" s="4" t="n">
        <x:v>360</x:v>
      </x:c>
      <x:c r="Q9" s="4" t="n">
        <x:v>0</x:v>
      </x:c>
      <x:c r="R9" s="4" t="n">
        <x:v>3500000000</x:v>
      </x:c>
      <x:c r="S9" s="4" t="n">
        <x:v>100</x:v>
      </x:c>
      <x:c r="T9" s="4" t="n">
        <x:v>100.3605998</x:v>
      </x:c>
      <x:c r="U9" s="4" t="n">
        <x:v>10</x:v>
      </x:c>
      <x:c r="V9" s="4" t="n">
        <x:v>200</x:v>
      </x:c>
      <x:c r="W9" s="4" t="n">
        <x:v>100000000</x:v>
      </x:c>
      <x:c r="X9" s="4" t="n">
        <x:v>2</x:v>
      </x:c>
      <x:c r="Y9" s="4" t="str">
        <x:v>DL|UL|UL|UL|</x:v>
      </x:c>
      <x:c r="Z9" s="4" t="n">
        <x:v>1400</x:v>
      </x:c>
      <x:c r="AA9" s="4" t="n">
        <x:v>1048576</x:v>
      </x:c>
      <x:c r="AB9" s="4" t="n">
        <x:v>42</x:v>
      </x:c>
      <x:c r="AC9" s="4" t="n">
        <x:v>3</x:v>
      </x:c>
      <x:c r="AD9" s="10" t="n">
        <x:v>198.0316128</x:v>
      </x:c>
      <x:c r="AE9" s="10" t="n">
        <x:v>194.14864</x:v>
      </x:c>
      <x:c r="AF9" s="10" t="n">
        <x:v>41.88041975</x:v>
      </x:c>
      <x:c r="AG9" s="10" t="n">
        <x:v>0.102704215</x:v>
      </x:c>
      <x:c r="AH9" s="10" t="n">
        <x:v>0.02925447</x:v>
      </x:c>
      <x:c r="AI9" s="4" t="n">
        <x:v>178571</x:v>
      </x:c>
      <x:c r="AJ9" s="4" t="n">
        <x:v>173347</x:v>
      </x:c>
      <x:c r="AK9" s="4" t="n">
        <x:v>247539516</x:v>
      </x:c>
      <x:c r="AL9" s="4" t="n">
        <x:v>5224</x:v>
      </x:c>
      <x:c r="AM9" s="4" t="str">
        <x:v>experiments/execution_177/batch_dataset.csv</x:v>
      </x:c>
    </x:row>
    <x:row r="10" ht="23" customHeight="1">
      <x:c r="A10" s="4" t="str">
        <x:v>success</x:v>
      </x:c>
      <x:c r="B10" s="4" t="n">
        <x:v>3</x:v>
      </x:c>
      <x:c r="C10" s="4" t="str">
        <x:v>harq_processes_4_run_4</x:v>
      </x:c>
      <x:c r="D10" s="4" t="n">
        <x:v>178</x:v>
      </x:c>
      <x:c r="E10" s="4" t="str">
        <x:v>ns3</x:v>
      </x:c>
      <x:c r="F10" s="4" t="str">
        <x:v>experiments/execution_178/experiment_3/config.json</x:v>
      </x:c>
      <x:c r="G10" s="4" t="str">
        <x:v>experiments/execution_178/experiment_3/results.json</x:v>
      </x:c>
      <x:c r="H10" s="4" t="str">
        <x:v>/home/dinos/ns-allinone-3.47/ns-3.47/experiments/execution_178/experiment_3</x:v>
      </x:c>
      <x:c r="I10" s="5" t="b">
        <x:v>1</x:v>
      </x:c>
      <x:c r="J10" s="4" t="n">
        <x:v>3</x:v>
      </x:c>
      <x:c r="K10" s="4" t="n">
        <x:v>4</x:v>
      </x:c>
      <x:c r="L10" s="4" t="str">
        <x:v>Cosine</x:v>
      </x:c>
      <x:c r="M10" s="4" t="n">
        <x:v>0</x:v>
      </x:c>
      <x:c r="N10" s="4" t="n">
        <x:v>0</x:v>
      </x:c>
      <x:c r="O10" s="4" t="n">
        <x:v>120</x:v>
      </x:c>
      <x:c r="P10" s="4" t="n">
        <x:v>360</x:v>
      </x:c>
      <x:c r="Q10" s="4" t="n">
        <x:v>0</x:v>
      </x:c>
      <x:c r="R10" s="4" t="n">
        <x:v>3500000000</x:v>
      </x:c>
      <x:c r="S10" s="4" t="n">
        <x:v>100</x:v>
      </x:c>
      <x:c r="T10" s="4" t="n">
        <x:v>100.3605998</x:v>
      </x:c>
      <x:c r="U10" s="4" t="n">
        <x:v>10</x:v>
      </x:c>
      <x:c r="V10" s="4" t="n">
        <x:v>200</x:v>
      </x:c>
      <x:c r="W10" s="4" t="n">
        <x:v>100000000</x:v>
      </x:c>
      <x:c r="X10" s="4" t="n">
        <x:v>2</x:v>
      </x:c>
      <x:c r="Y10" s="4" t="str">
        <x:v>DL|UL|UL|UL|</x:v>
      </x:c>
      <x:c r="Z10" s="4" t="n">
        <x:v>1400</x:v>
      </x:c>
      <x:c r="AA10" s="4" t="n">
        <x:v>1048576</x:v>
      </x:c>
      <x:c r="AB10" s="4" t="n">
        <x:v>42</x:v>
      </x:c>
      <x:c r="AC10" s="4" t="n">
        <x:v>4</x:v>
      </x:c>
      <x:c r="AD10" s="10" t="n">
        <x:v>198.0281856</x:v>
      </x:c>
      <x:c r="AE10" s="10" t="n">
        <x:v>194.14528</x:v>
      </x:c>
      <x:c r="AF10" s="10" t="n">
        <x:v>41.918022</x:v>
      </x:c>
      <x:c r="AG10" s="10" t="n">
        <x:v>0.102741185</x:v>
      </x:c>
      <x:c r="AH10" s="10" t="n">
        <x:v>0.02927127</x:v>
      </x:c>
      <x:c r="AI10" s="4" t="n">
        <x:v>178571</x:v>
      </x:c>
      <x:c r="AJ10" s="4" t="n">
        <x:v>173344</x:v>
      </x:c>
      <x:c r="AK10" s="4" t="n">
        <x:v>247535232</x:v>
      </x:c>
      <x:c r="AL10" s="4" t="n">
        <x:v>5227</x:v>
      </x:c>
      <x:c r="AM10" s="4" t="str">
        <x:v>experiments/execution_178/batch_dataset.csv</x:v>
      </x:c>
    </x:row>
    <x:row r="11" ht="23" customHeight="1">
      <x:c r="A11" s="4" t="str">
        <x:v>success</x:v>
      </x:c>
      <x:c r="B11" s="4" t="n">
        <x:v>3</x:v>
      </x:c>
      <x:c r="C11" s="4" t="str">
        <x:v>harq_processes_4_run_5</x:v>
      </x:c>
      <x:c r="D11" s="4" t="n">
        <x:v>179</x:v>
      </x:c>
      <x:c r="E11" s="4" t="str">
        <x:v>ns3</x:v>
      </x:c>
      <x:c r="F11" s="4" t="str">
        <x:v>experiments/execution_179/experiment_3/config.json</x:v>
      </x:c>
      <x:c r="G11" s="4" t="str">
        <x:v>experiments/execution_179/experiment_3/results.json</x:v>
      </x:c>
      <x:c r="H11" s="4" t="str">
        <x:v>/home/dinos/ns-allinone-3.47/ns-3.47/experiments/execution_179/experiment_3</x:v>
      </x:c>
      <x:c r="I11" s="5" t="b">
        <x:v>1</x:v>
      </x:c>
      <x:c r="J11" s="4" t="n">
        <x:v>3</x:v>
      </x:c>
      <x:c r="K11" s="4" t="n">
        <x:v>4</x:v>
      </x:c>
      <x:c r="L11" s="4" t="str">
        <x:v>Cosine</x:v>
      </x:c>
      <x:c r="M11" s="4" t="n">
        <x:v>0</x:v>
      </x:c>
      <x:c r="N11" s="4" t="n">
        <x:v>0</x:v>
      </x:c>
      <x:c r="O11" s="4" t="n">
        <x:v>120</x:v>
      </x:c>
      <x:c r="P11" s="4" t="n">
        <x:v>360</x:v>
      </x:c>
      <x:c r="Q11" s="4" t="n">
        <x:v>0</x:v>
      </x:c>
      <x:c r="R11" s="4" t="n">
        <x:v>3500000000</x:v>
      </x:c>
      <x:c r="S11" s="4" t="n">
        <x:v>100</x:v>
      </x:c>
      <x:c r="T11" s="4" t="n">
        <x:v>100.3605998</x:v>
      </x:c>
      <x:c r="U11" s="4" t="n">
        <x:v>10</x:v>
      </x:c>
      <x:c r="V11" s="4" t="n">
        <x:v>200</x:v>
      </x:c>
      <x:c r="W11" s="4" t="n">
        <x:v>100000000</x:v>
      </x:c>
      <x:c r="X11" s="4" t="n">
        <x:v>2</x:v>
      </x:c>
      <x:c r="Y11" s="4" t="str">
        <x:v>DL|UL|UL|UL|</x:v>
      </x:c>
      <x:c r="Z11" s="4" t="n">
        <x:v>1400</x:v>
      </x:c>
      <x:c r="AA11" s="4" t="n">
        <x:v>1048576</x:v>
      </x:c>
      <x:c r="AB11" s="4" t="n">
        <x:v>42</x:v>
      </x:c>
      <x:c r="AC11" s="4" t="n">
        <x:v>5</x:v>
      </x:c>
      <x:c r="AD11" s="10" t="n">
        <x:v>198.0361824</x:v>
      </x:c>
      <x:c r="AE11" s="10" t="n">
        <x:v>194.15312</x:v>
      </x:c>
      <x:c r="AF11" s="10" t="n">
        <x:v>41.87350703</x:v>
      </x:c>
      <x:c r="AG11" s="10" t="n">
        <x:v>0.102706905</x:v>
      </x:c>
      <x:c r="AH11" s="10" t="n">
        <x:v>0.02923207</x:v>
      </x:c>
      <x:c r="AI11" s="4" t="n">
        <x:v>178571</x:v>
      </x:c>
      <x:c r="AJ11" s="4" t="n">
        <x:v>173351</x:v>
      </x:c>
      <x:c r="AK11" s="4" t="n">
        <x:v>247545228</x:v>
      </x:c>
      <x:c r="AL11" s="4" t="n">
        <x:v>5220</x:v>
      </x:c>
      <x:c r="AM11" s="4" t="str">
        <x:v>experiments/execution_179/batch_dataset.csv</x:v>
      </x:c>
    </x:row>
    <x:row r="12" ht="23" customHeight="1">
      <x:c r="A12" s="4" t="str">
        <x:v>success</x:v>
      </x:c>
      <x:c r="B12" s="4" t="n">
        <x:v>4</x:v>
      </x:c>
      <x:c r="C12" s="4" t="str">
        <x:v>harq_processes_8_run_1</x:v>
      </x:c>
      <x:c r="D12" s="4" t="n">
        <x:v>175</x:v>
      </x:c>
      <x:c r="E12" s="4" t="str">
        <x:v>ns3</x:v>
      </x:c>
      <x:c r="F12" s="4" t="str">
        <x:v>experiments/execution_175/experiment_4/config.json</x:v>
      </x:c>
      <x:c r="G12" s="4" t="str">
        <x:v>experiments/execution_175/experiment_4/results.json</x:v>
      </x:c>
      <x:c r="H12" s="4" t="str">
        <x:v>/home/dinos/ns-allinone-3.47/ns-3.47/experiments/execution_175/experiment_4</x:v>
      </x:c>
      <x:c r="I12" s="5" t="b">
        <x:v>1</x:v>
      </x:c>
      <x:c r="J12" s="4" t="n">
        <x:v>3</x:v>
      </x:c>
      <x:c r="K12" s="4" t="n">
        <x:v>8</x:v>
      </x:c>
      <x:c r="L12" s="4" t="str">
        <x:v>Cosine</x:v>
      </x:c>
      <x:c r="M12" s="4" t="n">
        <x:v>0</x:v>
      </x:c>
      <x:c r="N12" s="4" t="n">
        <x:v>0</x:v>
      </x:c>
      <x:c r="O12" s="4" t="n">
        <x:v>120</x:v>
      </x:c>
      <x:c r="P12" s="4" t="n">
        <x:v>360</x:v>
      </x:c>
      <x:c r="Q12" s="4" t="n">
        <x:v>0</x:v>
      </x:c>
      <x:c r="R12" s="4" t="n">
        <x:v>3500000000</x:v>
      </x:c>
      <x:c r="S12" s="4" t="n">
        <x:v>100</x:v>
      </x:c>
      <x:c r="T12" s="4" t="n">
        <x:v>100.3605998</x:v>
      </x:c>
      <x:c r="U12" s="4" t="n">
        <x:v>10</x:v>
      </x:c>
      <x:c r="V12" s="4" t="n">
        <x:v>200</x:v>
      </x:c>
      <x:c r="W12" s="4" t="n">
        <x:v>100000000</x:v>
      </x:c>
      <x:c r="X12" s="4" t="n">
        <x:v>2</x:v>
      </x:c>
      <x:c r="Y12" s="4" t="str">
        <x:v>DL|UL|UL|UL|</x:v>
      </x:c>
      <x:c r="Z12" s="4" t="n">
        <x:v>1400</x:v>
      </x:c>
      <x:c r="AA12" s="4" t="n">
        <x:v>1048576</x:v>
      </x:c>
      <x:c r="AB12" s="4" t="n">
        <x:v>42</x:v>
      </x:c>
      <x:c r="AC12" s="4" t="n">
        <x:v>1</x:v>
      </x:c>
      <x:c r="AD12" s="10" t="n">
        <x:v>203.9995104</x:v>
      </x:c>
      <x:c r="AE12" s="10" t="n">
        <x:v>199.99952</x:v>
      </x:c>
      <x:c r="AF12" s="10" t="n">
        <x:v>3.641743807</x:v>
      </x:c>
      <x:c r="AG12" s="10" t="n">
        <x:v>0.098974491</x:v>
      </x:c>
      <x:c r="AH12" s="10" t="n">
        <x:v>0</x:v>
      </x:c>
      <x:c r="AI12" s="4" t="n">
        <x:v>178571</x:v>
      </x:c>
      <x:c r="AJ12" s="4" t="n">
        <x:v>178571</x:v>
      </x:c>
      <x:c r="AK12" s="4" t="n">
        <x:v>254999388</x:v>
      </x:c>
      <x:c r="AL12" s="4" t="n">
        <x:v>0</x:v>
      </x:c>
      <x:c r="AM12" s="4" t="str">
        <x:v>experiments/execution_175/batch_dataset.csv</x:v>
      </x:c>
    </x:row>
    <x:row r="13" ht="23" customHeight="1">
      <x:c r="A13" s="4" t="str">
        <x:v>success</x:v>
      </x:c>
      <x:c r="B13" s="4" t="n">
        <x:v>4</x:v>
      </x:c>
      <x:c r="C13" s="4" t="str">
        <x:v>harq_processes_8_run_2</x:v>
      </x:c>
      <x:c r="D13" s="4" t="n">
        <x:v>176</x:v>
      </x:c>
      <x:c r="E13" s="4" t="str">
        <x:v>ns3</x:v>
      </x:c>
      <x:c r="F13" s="4" t="str">
        <x:v>experiments/execution_176/experiment_4/config.json</x:v>
      </x:c>
      <x:c r="G13" s="4" t="str">
        <x:v>experiments/execution_176/experiment_4/results.json</x:v>
      </x:c>
      <x:c r="H13" s="4" t="str">
        <x:v>/home/dinos/ns-allinone-3.47/ns-3.47/experiments/execution_176/experiment_4</x:v>
      </x:c>
      <x:c r="I13" s="5" t="b">
        <x:v>1</x:v>
      </x:c>
      <x:c r="J13" s="4" t="n">
        <x:v>3</x:v>
      </x:c>
      <x:c r="K13" s="4" t="n">
        <x:v>8</x:v>
      </x:c>
      <x:c r="L13" s="4" t="str">
        <x:v>Cosine</x:v>
      </x:c>
      <x:c r="M13" s="4" t="n">
        <x:v>0</x:v>
      </x:c>
      <x:c r="N13" s="4" t="n">
        <x:v>0</x:v>
      </x:c>
      <x:c r="O13" s="4" t="n">
        <x:v>120</x:v>
      </x:c>
      <x:c r="P13" s="4" t="n">
        <x:v>360</x:v>
      </x:c>
      <x:c r="Q13" s="4" t="n">
        <x:v>0</x:v>
      </x:c>
      <x:c r="R13" s="4" t="n">
        <x:v>3500000000</x:v>
      </x:c>
      <x:c r="S13" s="4" t="n">
        <x:v>100</x:v>
      </x:c>
      <x:c r="T13" s="4" t="n">
        <x:v>100.3605998</x:v>
      </x:c>
      <x:c r="U13" s="4" t="n">
        <x:v>10</x:v>
      </x:c>
      <x:c r="V13" s="4" t="n">
        <x:v>200</x:v>
      </x:c>
      <x:c r="W13" s="4" t="n">
        <x:v>100000000</x:v>
      </x:c>
      <x:c r="X13" s="4" t="n">
        <x:v>2</x:v>
      </x:c>
      <x:c r="Y13" s="4" t="str">
        <x:v>DL|UL|UL|UL|</x:v>
      </x:c>
      <x:c r="Z13" s="4" t="n">
        <x:v>1400</x:v>
      </x:c>
      <x:c r="AA13" s="4" t="n">
        <x:v>1048576</x:v>
      </x:c>
      <x:c r="AB13" s="4" t="n">
        <x:v>42</x:v>
      </x:c>
      <x:c r="AC13" s="4" t="n">
        <x:v>2</x:v>
      </x:c>
      <x:c r="AD13" s="10" t="n">
        <x:v>203.9995104</x:v>
      </x:c>
      <x:c r="AE13" s="10" t="n">
        <x:v>199.99952</x:v>
      </x:c>
      <x:c r="AF13" s="10" t="n">
        <x:v>3.647458366</x:v>
      </x:c>
      <x:c r="AG13" s="10" t="n">
        <x:v>0.09895792</x:v>
      </x:c>
      <x:c r="AH13" s="10" t="n">
        <x:v>0</x:v>
      </x:c>
      <x:c r="AI13" s="4" t="n">
        <x:v>178571</x:v>
      </x:c>
      <x:c r="AJ13" s="4" t="n">
        <x:v>178571</x:v>
      </x:c>
      <x:c r="AK13" s="4" t="n">
        <x:v>254999388</x:v>
      </x:c>
      <x:c r="AL13" s="4" t="n">
        <x:v>0</x:v>
      </x:c>
      <x:c r="AM13" s="4" t="str">
        <x:v>experiments/execution_176/batch_dataset.csv</x:v>
      </x:c>
    </x:row>
    <x:row r="14" ht="23" customHeight="1">
      <x:c r="A14" s="4" t="str">
        <x:v>success</x:v>
      </x:c>
      <x:c r="B14" s="4" t="n">
        <x:v>4</x:v>
      </x:c>
      <x:c r="C14" s="4" t="str">
        <x:v>harq_processes_8_run_3</x:v>
      </x:c>
      <x:c r="D14" s="4" t="n">
        <x:v>177</x:v>
      </x:c>
      <x:c r="E14" s="4" t="str">
        <x:v>ns3</x:v>
      </x:c>
      <x:c r="F14" s="4" t="str">
        <x:v>experiments/execution_177/experiment_4/config.json</x:v>
      </x:c>
      <x:c r="G14" s="4" t="str">
        <x:v>experiments/execution_177/experiment_4/results.json</x:v>
      </x:c>
      <x:c r="H14" s="4" t="str">
        <x:v>/home/dinos/ns-allinone-3.47/ns-3.47/experiments/execution_177/experiment_4</x:v>
      </x:c>
      <x:c r="I14" s="5" t="b">
        <x:v>1</x:v>
      </x:c>
      <x:c r="J14" s="4" t="n">
        <x:v>3</x:v>
      </x:c>
      <x:c r="K14" s="4" t="n">
        <x:v>8</x:v>
      </x:c>
      <x:c r="L14" s="4" t="str">
        <x:v>Cosine</x:v>
      </x:c>
      <x:c r="M14" s="4" t="n">
        <x:v>0</x:v>
      </x:c>
      <x:c r="N14" s="4" t="n">
        <x:v>0</x:v>
      </x:c>
      <x:c r="O14" s="4" t="n">
        <x:v>120</x:v>
      </x:c>
      <x:c r="P14" s="4" t="n">
        <x:v>360</x:v>
      </x:c>
      <x:c r="Q14" s="4" t="n">
        <x:v>0</x:v>
      </x:c>
      <x:c r="R14" s="4" t="n">
        <x:v>3500000000</x:v>
      </x:c>
      <x:c r="S14" s="4" t="n">
        <x:v>100</x:v>
      </x:c>
      <x:c r="T14" s="4" t="n">
        <x:v>100.3605998</x:v>
      </x:c>
      <x:c r="U14" s="4" t="n">
        <x:v>10</x:v>
      </x:c>
      <x:c r="V14" s="4" t="n">
        <x:v>200</x:v>
      </x:c>
      <x:c r="W14" s="4" t="n">
        <x:v>100000000</x:v>
      </x:c>
      <x:c r="X14" s="4" t="n">
        <x:v>2</x:v>
      </x:c>
      <x:c r="Y14" s="4" t="str">
        <x:v>DL|UL|UL|UL|</x:v>
      </x:c>
      <x:c r="Z14" s="4" t="n">
        <x:v>1400</x:v>
      </x:c>
      <x:c r="AA14" s="4" t="n">
        <x:v>1048576</x:v>
      </x:c>
      <x:c r="AB14" s="4" t="n">
        <x:v>42</x:v>
      </x:c>
      <x:c r="AC14" s="4" t="n">
        <x:v>3</x:v>
      </x:c>
      <x:c r="AD14" s="10" t="n">
        <x:v>203.9995104</x:v>
      </x:c>
      <x:c r="AE14" s="10" t="n">
        <x:v>199.99952</x:v>
      </x:c>
      <x:c r="AF14" s="10" t="n">
        <x:v>3.636726807</x:v>
      </x:c>
      <x:c r="AG14" s="10" t="n">
        <x:v>0.098925707</x:v>
      </x:c>
      <x:c r="AH14" s="10" t="n">
        <x:v>0</x:v>
      </x:c>
      <x:c r="AI14" s="4" t="n">
        <x:v>178571</x:v>
      </x:c>
      <x:c r="AJ14" s="4" t="n">
        <x:v>178571</x:v>
      </x:c>
      <x:c r="AK14" s="4" t="n">
        <x:v>254999388</x:v>
      </x:c>
      <x:c r="AL14" s="4" t="n">
        <x:v>0</x:v>
      </x:c>
      <x:c r="AM14" s="4" t="str">
        <x:v>experiments/execution_177/batch_dataset.csv</x:v>
      </x:c>
    </x:row>
    <x:row r="15" ht="23" customHeight="1">
      <x:c r="A15" s="4" t="str">
        <x:v>success</x:v>
      </x:c>
      <x:c r="B15" s="4" t="n">
        <x:v>4</x:v>
      </x:c>
      <x:c r="C15" s="4" t="str">
        <x:v>harq_processes_8_run_4</x:v>
      </x:c>
      <x:c r="D15" s="4" t="n">
        <x:v>178</x:v>
      </x:c>
      <x:c r="E15" s="4" t="str">
        <x:v>ns3</x:v>
      </x:c>
      <x:c r="F15" s="4" t="str">
        <x:v>experiments/execution_178/experiment_4/config.json</x:v>
      </x:c>
      <x:c r="G15" s="4" t="str">
        <x:v>experiments/execution_178/experiment_4/results.json</x:v>
      </x:c>
      <x:c r="H15" s="4" t="str">
        <x:v>/home/dinos/ns-allinone-3.47/ns-3.47/experiments/execution_178/experiment_4</x:v>
      </x:c>
      <x:c r="I15" s="5" t="b">
        <x:v>1</x:v>
      </x:c>
      <x:c r="J15" s="4" t="n">
        <x:v>3</x:v>
      </x:c>
      <x:c r="K15" s="4" t="n">
        <x:v>8</x:v>
      </x:c>
      <x:c r="L15" s="4" t="str">
        <x:v>Cosine</x:v>
      </x:c>
      <x:c r="M15" s="4" t="n">
        <x:v>0</x:v>
      </x:c>
      <x:c r="N15" s="4" t="n">
        <x:v>0</x:v>
      </x:c>
      <x:c r="O15" s="4" t="n">
        <x:v>120</x:v>
      </x:c>
      <x:c r="P15" s="4" t="n">
        <x:v>360</x:v>
      </x:c>
      <x:c r="Q15" s="4" t="n">
        <x:v>0</x:v>
      </x:c>
      <x:c r="R15" s="4" t="n">
        <x:v>3500000000</x:v>
      </x:c>
      <x:c r="S15" s="4" t="n">
        <x:v>100</x:v>
      </x:c>
      <x:c r="T15" s="4" t="n">
        <x:v>100.3605998</x:v>
      </x:c>
      <x:c r="U15" s="4" t="n">
        <x:v>10</x:v>
      </x:c>
      <x:c r="V15" s="4" t="n">
        <x:v>200</x:v>
      </x:c>
      <x:c r="W15" s="4" t="n">
        <x:v>100000000</x:v>
      </x:c>
      <x:c r="X15" s="4" t="n">
        <x:v>2</x:v>
      </x:c>
      <x:c r="Y15" s="4" t="str">
        <x:v>DL|UL|UL|UL|</x:v>
      </x:c>
      <x:c r="Z15" s="4" t="n">
        <x:v>1400</x:v>
      </x:c>
      <x:c r="AA15" s="4" t="n">
        <x:v>1048576</x:v>
      </x:c>
      <x:c r="AB15" s="4" t="n">
        <x:v>42</x:v>
      </x:c>
      <x:c r="AC15" s="4" t="n">
        <x:v>4</x:v>
      </x:c>
      <x:c r="AD15" s="10" t="n">
        <x:v>203.9995104</x:v>
      </x:c>
      <x:c r="AE15" s="10" t="n">
        <x:v>199.99952</x:v>
      </x:c>
      <x:c r="AF15" s="10" t="n">
        <x:v>3.64074478</x:v>
      </x:c>
      <x:c r="AG15" s="10" t="n">
        <x:v>0.099081519</x:v>
      </x:c>
      <x:c r="AH15" s="10" t="n">
        <x:v>0</x:v>
      </x:c>
      <x:c r="AI15" s="4" t="n">
        <x:v>178571</x:v>
      </x:c>
      <x:c r="AJ15" s="4" t="n">
        <x:v>178571</x:v>
      </x:c>
      <x:c r="AK15" s="4" t="n">
        <x:v>254999388</x:v>
      </x:c>
      <x:c r="AL15" s="4" t="n">
        <x:v>0</x:v>
      </x:c>
      <x:c r="AM15" s="4" t="str">
        <x:v>experiments/execution_178/batch_dataset.csv</x:v>
      </x:c>
    </x:row>
    <x:row r="16" ht="23" customHeight="1">
      <x:c r="A16" s="4" t="str">
        <x:v>success</x:v>
      </x:c>
      <x:c r="B16" s="4" t="n">
        <x:v>4</x:v>
      </x:c>
      <x:c r="C16" s="4" t="str">
        <x:v>harq_processes_8_run_5</x:v>
      </x:c>
      <x:c r="D16" s="4" t="n">
        <x:v>179</x:v>
      </x:c>
      <x:c r="E16" s="4" t="str">
        <x:v>ns3</x:v>
      </x:c>
      <x:c r="F16" s="4" t="str">
        <x:v>experiments/execution_179/experiment_4/config.json</x:v>
      </x:c>
      <x:c r="G16" s="4" t="str">
        <x:v>experiments/execution_179/experiment_4/results.json</x:v>
      </x:c>
      <x:c r="H16" s="4" t="str">
        <x:v>/home/dinos/ns-allinone-3.47/ns-3.47/experiments/execution_179/experiment_4</x:v>
      </x:c>
      <x:c r="I16" s="5" t="b">
        <x:v>1</x:v>
      </x:c>
      <x:c r="J16" s="4" t="n">
        <x:v>3</x:v>
      </x:c>
      <x:c r="K16" s="4" t="n">
        <x:v>8</x:v>
      </x:c>
      <x:c r="L16" s="4" t="str">
        <x:v>Cosine</x:v>
      </x:c>
      <x:c r="M16" s="4" t="n">
        <x:v>0</x:v>
      </x:c>
      <x:c r="N16" s="4" t="n">
        <x:v>0</x:v>
      </x:c>
      <x:c r="O16" s="4" t="n">
        <x:v>120</x:v>
      </x:c>
      <x:c r="P16" s="4" t="n">
        <x:v>360</x:v>
      </x:c>
      <x:c r="Q16" s="4" t="n">
        <x:v>0</x:v>
      </x:c>
      <x:c r="R16" s="4" t="n">
        <x:v>3500000000</x:v>
      </x:c>
      <x:c r="S16" s="4" t="n">
        <x:v>100</x:v>
      </x:c>
      <x:c r="T16" s="4" t="n">
        <x:v>100.3605998</x:v>
      </x:c>
      <x:c r="U16" s="4" t="n">
        <x:v>10</x:v>
      </x:c>
      <x:c r="V16" s="4" t="n">
        <x:v>200</x:v>
      </x:c>
      <x:c r="W16" s="4" t="n">
        <x:v>100000000</x:v>
      </x:c>
      <x:c r="X16" s="4" t="n">
        <x:v>2</x:v>
      </x:c>
      <x:c r="Y16" s="4" t="str">
        <x:v>DL|UL|UL|UL|</x:v>
      </x:c>
      <x:c r="Z16" s="4" t="n">
        <x:v>1400</x:v>
      </x:c>
      <x:c r="AA16" s="4" t="n">
        <x:v>1048576</x:v>
      </x:c>
      <x:c r="AB16" s="4" t="n">
        <x:v>42</x:v>
      </x:c>
      <x:c r="AC16" s="4" t="n">
        <x:v>5</x:v>
      </x:c>
      <x:c r="AD16" s="10" t="n">
        <x:v>203.9995104</x:v>
      </x:c>
      <x:c r="AE16" s="10" t="n">
        <x:v>199.99952</x:v>
      </x:c>
      <x:c r="AF16" s="10" t="n">
        <x:v>3.646644326</x:v>
      </x:c>
      <x:c r="AG16" s="10" t="n">
        <x:v>0.099078996</x:v>
      </x:c>
      <x:c r="AH16" s="10" t="n">
        <x:v>0</x:v>
      </x:c>
      <x:c r="AI16" s="4" t="n">
        <x:v>178571</x:v>
      </x:c>
      <x:c r="AJ16" s="4" t="n">
        <x:v>178571</x:v>
      </x:c>
      <x:c r="AK16" s="4" t="n">
        <x:v>254999388</x:v>
      </x:c>
      <x:c r="AL16" s="4" t="n">
        <x:v>0</x:v>
      </x:c>
      <x:c r="AM16" s="4" t="str">
        <x:v>experiments/execution_179/batch_dataset.csv</x:v>
      </x:c>
    </x:row>
    <x:row r="17" ht="23" customHeight="1">
      <x:c r="A17" s="4" t="str">
        <x:v>success</x:v>
      </x:c>
      <x:c r="B17" s="4" t="n">
        <x:v>5</x:v>
      </x:c>
      <x:c r="C17" s="4" t="str">
        <x:v>harq_processes_16_run_1</x:v>
      </x:c>
      <x:c r="D17" s="4" t="n">
        <x:v>175</x:v>
      </x:c>
      <x:c r="E17" s="4" t="str">
        <x:v>ns3</x:v>
      </x:c>
      <x:c r="F17" s="4" t="str">
        <x:v>experiments/execution_175/experiment_5/config.json</x:v>
      </x:c>
      <x:c r="G17" s="4" t="str">
        <x:v>experiments/execution_175/experiment_5/results.json</x:v>
      </x:c>
      <x:c r="H17" s="4" t="str">
        <x:v>/home/dinos/ns-allinone-3.47/ns-3.47/experiments/execution_175/experiment_5</x:v>
      </x:c>
      <x:c r="I17" s="5" t="b">
        <x:v>1</x:v>
      </x:c>
      <x:c r="J17" s="4" t="n">
        <x:v>3</x:v>
      </x:c>
      <x:c r="K17" s="4" t="n">
        <x:v>16</x:v>
      </x:c>
      <x:c r="L17" s="4" t="str">
        <x:v>Cosine</x:v>
      </x:c>
      <x:c r="M17" s="4" t="n">
        <x:v>0</x:v>
      </x:c>
      <x:c r="N17" s="4" t="n">
        <x:v>0</x:v>
      </x:c>
      <x:c r="O17" s="4" t="n">
        <x:v>120</x:v>
      </x:c>
      <x:c r="P17" s="4" t="n">
        <x:v>360</x:v>
      </x:c>
      <x:c r="Q17" s="4" t="n">
        <x:v>0</x:v>
      </x:c>
      <x:c r="R17" s="4" t="n">
        <x:v>3500000000</x:v>
      </x:c>
      <x:c r="S17" s="4" t="n">
        <x:v>100</x:v>
      </x:c>
      <x:c r="T17" s="4" t="n">
        <x:v>100.3605998</x:v>
      </x:c>
      <x:c r="U17" s="4" t="n">
        <x:v>10</x:v>
      </x:c>
      <x:c r="V17" s="4" t="n">
        <x:v>200</x:v>
      </x:c>
      <x:c r="W17" s="4" t="n">
        <x:v>100000000</x:v>
      </x:c>
      <x:c r="X17" s="4" t="n">
        <x:v>2</x:v>
      </x:c>
      <x:c r="Y17" s="4" t="str">
        <x:v>DL|UL|UL|UL|</x:v>
      </x:c>
      <x:c r="Z17" s="4" t="n">
        <x:v>1400</x:v>
      </x:c>
      <x:c r="AA17" s="4" t="n">
        <x:v>1048576</x:v>
      </x:c>
      <x:c r="AB17" s="4" t="n">
        <x:v>42</x:v>
      </x:c>
      <x:c r="AC17" s="4" t="n">
        <x:v>1</x:v>
      </x:c>
      <x:c r="AD17" s="10" t="n">
        <x:v>203.9995104</x:v>
      </x:c>
      <x:c r="AE17" s="10" t="n">
        <x:v>199.99952</x:v>
      </x:c>
      <x:c r="AF17" s="10" t="n">
        <x:v>3.642558848</x:v>
      </x:c>
      <x:c r="AG17" s="10" t="n">
        <x:v>0.099013235</x:v>
      </x:c>
      <x:c r="AH17" s="10" t="n">
        <x:v>0</x:v>
      </x:c>
      <x:c r="AI17" s="4" t="n">
        <x:v>178571</x:v>
      </x:c>
      <x:c r="AJ17" s="4" t="n">
        <x:v>178571</x:v>
      </x:c>
      <x:c r="AK17" s="4" t="n">
        <x:v>254999388</x:v>
      </x:c>
      <x:c r="AL17" s="4" t="n">
        <x:v>0</x:v>
      </x:c>
      <x:c r="AM17" s="4" t="str">
        <x:v>experiments/execution_175/batch_dataset.csv</x:v>
      </x:c>
    </x:row>
    <x:row r="18" ht="23" customHeight="1">
      <x:c r="A18" s="4" t="str">
        <x:v>success</x:v>
      </x:c>
      <x:c r="B18" s="4" t="n">
        <x:v>5</x:v>
      </x:c>
      <x:c r="C18" s="4" t="str">
        <x:v>harq_processes_16_run_2</x:v>
      </x:c>
      <x:c r="D18" s="4" t="n">
        <x:v>176</x:v>
      </x:c>
      <x:c r="E18" s="4" t="str">
        <x:v>ns3</x:v>
      </x:c>
      <x:c r="F18" s="4" t="str">
        <x:v>experiments/execution_176/experiment_5/config.json</x:v>
      </x:c>
      <x:c r="G18" s="4" t="str">
        <x:v>experiments/execution_176/experiment_5/results.json</x:v>
      </x:c>
      <x:c r="H18" s="4" t="str">
        <x:v>/home/dinos/ns-allinone-3.47/ns-3.47/experiments/execution_176/experiment_5</x:v>
      </x:c>
      <x:c r="I18" s="5" t="b">
        <x:v>1</x:v>
      </x:c>
      <x:c r="J18" s="4" t="n">
        <x:v>3</x:v>
      </x:c>
      <x:c r="K18" s="4" t="n">
        <x:v>16</x:v>
      </x:c>
      <x:c r="L18" s="4" t="str">
        <x:v>Cosine</x:v>
      </x:c>
      <x:c r="M18" s="4" t="n">
        <x:v>0</x:v>
      </x:c>
      <x:c r="N18" s="4" t="n">
        <x:v>0</x:v>
      </x:c>
      <x:c r="O18" s="4" t="n">
        <x:v>120</x:v>
      </x:c>
      <x:c r="P18" s="4" t="n">
        <x:v>360</x:v>
      </x:c>
      <x:c r="Q18" s="4" t="n">
        <x:v>0</x:v>
      </x:c>
      <x:c r="R18" s="4" t="n">
        <x:v>3500000000</x:v>
      </x:c>
      <x:c r="S18" s="4" t="n">
        <x:v>100</x:v>
      </x:c>
      <x:c r="T18" s="4" t="n">
        <x:v>100.3605998</x:v>
      </x:c>
      <x:c r="U18" s="4" t="n">
        <x:v>10</x:v>
      </x:c>
      <x:c r="V18" s="4" t="n">
        <x:v>200</x:v>
      </x:c>
      <x:c r="W18" s="4" t="n">
        <x:v>100000000</x:v>
      </x:c>
      <x:c r="X18" s="4" t="n">
        <x:v>2</x:v>
      </x:c>
      <x:c r="Y18" s="4" t="str">
        <x:v>DL|UL|UL|UL|</x:v>
      </x:c>
      <x:c r="Z18" s="4" t="n">
        <x:v>1400</x:v>
      </x:c>
      <x:c r="AA18" s="4" t="n">
        <x:v>1048576</x:v>
      </x:c>
      <x:c r="AB18" s="4" t="n">
        <x:v>42</x:v>
      </x:c>
      <x:c r="AC18" s="4" t="n">
        <x:v>2</x:v>
      </x:c>
      <x:c r="AD18" s="10" t="n">
        <x:v>203.9995104</x:v>
      </x:c>
      <x:c r="AE18" s="10" t="n">
        <x:v>199.99952</x:v>
      </x:c>
      <x:c r="AF18" s="10" t="n">
        <x:v>3.643432479</x:v>
      </x:c>
      <x:c r="AG18" s="10" t="n">
        <x:v>0.098951344</x:v>
      </x:c>
      <x:c r="AH18" s="10" t="n">
        <x:v>0</x:v>
      </x:c>
      <x:c r="AI18" s="4" t="n">
        <x:v>178571</x:v>
      </x:c>
      <x:c r="AJ18" s="4" t="n">
        <x:v>178571</x:v>
      </x:c>
      <x:c r="AK18" s="4" t="n">
        <x:v>254999388</x:v>
      </x:c>
      <x:c r="AL18" s="4" t="n">
        <x:v>0</x:v>
      </x:c>
      <x:c r="AM18" s="4" t="str">
        <x:v>experiments/execution_176/batch_dataset.csv</x:v>
      </x:c>
    </x:row>
    <x:row r="19" ht="23" customHeight="1">
      <x:c r="A19" s="4" t="str">
        <x:v>success</x:v>
      </x:c>
      <x:c r="B19" s="4" t="n">
        <x:v>5</x:v>
      </x:c>
      <x:c r="C19" s="4" t="str">
        <x:v>harq_processes_16_run_3</x:v>
      </x:c>
      <x:c r="D19" s="4" t="n">
        <x:v>177</x:v>
      </x:c>
      <x:c r="E19" s="4" t="str">
        <x:v>ns3</x:v>
      </x:c>
      <x:c r="F19" s="4" t="str">
        <x:v>experiments/execution_177/experiment_5/config.json</x:v>
      </x:c>
      <x:c r="G19" s="4" t="str">
        <x:v>experiments/execution_177/experiment_5/results.json</x:v>
      </x:c>
      <x:c r="H19" s="4" t="str">
        <x:v>/home/dinos/ns-allinone-3.47/ns-3.47/experiments/execution_177/experiment_5</x:v>
      </x:c>
      <x:c r="I19" s="5" t="b">
        <x:v>1</x:v>
      </x:c>
      <x:c r="J19" s="4" t="n">
        <x:v>3</x:v>
      </x:c>
      <x:c r="K19" s="4" t="n">
        <x:v>16</x:v>
      </x:c>
      <x:c r="L19" s="4" t="str">
        <x:v>Cosine</x:v>
      </x:c>
      <x:c r="M19" s="4" t="n">
        <x:v>0</x:v>
      </x:c>
      <x:c r="N19" s="4" t="n">
        <x:v>0</x:v>
      </x:c>
      <x:c r="O19" s="4" t="n">
        <x:v>120</x:v>
      </x:c>
      <x:c r="P19" s="4" t="n">
        <x:v>360</x:v>
      </x:c>
      <x:c r="Q19" s="4" t="n">
        <x:v>0</x:v>
      </x:c>
      <x:c r="R19" s="4" t="n">
        <x:v>3500000000</x:v>
      </x:c>
      <x:c r="S19" s="4" t="n">
        <x:v>100</x:v>
      </x:c>
      <x:c r="T19" s="4" t="n">
        <x:v>100.3605998</x:v>
      </x:c>
      <x:c r="U19" s="4" t="n">
        <x:v>10</x:v>
      </x:c>
      <x:c r="V19" s="4" t="n">
        <x:v>200</x:v>
      </x:c>
      <x:c r="W19" s="4" t="n">
        <x:v>100000000</x:v>
      </x:c>
      <x:c r="X19" s="4" t="n">
        <x:v>2</x:v>
      </x:c>
      <x:c r="Y19" s="4" t="str">
        <x:v>DL|UL|UL|UL|</x:v>
      </x:c>
      <x:c r="Z19" s="4" t="n">
        <x:v>1400</x:v>
      </x:c>
      <x:c r="AA19" s="4" t="n">
        <x:v>1048576</x:v>
      </x:c>
      <x:c r="AB19" s="4" t="n">
        <x:v>42</x:v>
      </x:c>
      <x:c r="AC19" s="4" t="n">
        <x:v>3</x:v>
      </x:c>
      <x:c r="AD19" s="10" t="n">
        <x:v>203.9995104</x:v>
      </x:c>
      <x:c r="AE19" s="10" t="n">
        <x:v>199.99952</x:v>
      </x:c>
      <x:c r="AF19" s="10" t="n">
        <x:v>3.640227449</x:v>
      </x:c>
      <x:c r="AG19" s="10" t="n">
        <x:v>0.099045787</x:v>
      </x:c>
      <x:c r="AH19" s="10" t="n">
        <x:v>0</x:v>
      </x:c>
      <x:c r="AI19" s="4" t="n">
        <x:v>178571</x:v>
      </x:c>
      <x:c r="AJ19" s="4" t="n">
        <x:v>178571</x:v>
      </x:c>
      <x:c r="AK19" s="4" t="n">
        <x:v>254999388</x:v>
      </x:c>
      <x:c r="AL19" s="4" t="n">
        <x:v>0</x:v>
      </x:c>
      <x:c r="AM19" s="4" t="str">
        <x:v>experiments/execution_177/batch_dataset.csv</x:v>
      </x:c>
    </x:row>
    <x:row r="20" ht="23" customHeight="1">
      <x:c r="A20" s="4" t="str">
        <x:v>success</x:v>
      </x:c>
      <x:c r="B20" s="4" t="n">
        <x:v>5</x:v>
      </x:c>
      <x:c r="C20" s="4" t="str">
        <x:v>harq_processes_16_run_4</x:v>
      </x:c>
      <x:c r="D20" s="4" t="n">
        <x:v>178</x:v>
      </x:c>
      <x:c r="E20" s="4" t="str">
        <x:v>ns3</x:v>
      </x:c>
      <x:c r="F20" s="4" t="str">
        <x:v>experiments/execution_178/experiment_5/config.json</x:v>
      </x:c>
      <x:c r="G20" s="4" t="str">
        <x:v>experiments/execution_178/experiment_5/results.json</x:v>
      </x:c>
      <x:c r="H20" s="4" t="str">
        <x:v>/home/dinos/ns-allinone-3.47/ns-3.47/experiments/execution_178/experiment_5</x:v>
      </x:c>
      <x:c r="I20" s="5" t="b">
        <x:v>1</x:v>
      </x:c>
      <x:c r="J20" s="4" t="n">
        <x:v>3</x:v>
      </x:c>
      <x:c r="K20" s="4" t="n">
        <x:v>16</x:v>
      </x:c>
      <x:c r="L20" s="4" t="str">
        <x:v>Cosine</x:v>
      </x:c>
      <x:c r="M20" s="4" t="n">
        <x:v>0</x:v>
      </x:c>
      <x:c r="N20" s="4" t="n">
        <x:v>0</x:v>
      </x:c>
      <x:c r="O20" s="4" t="n">
        <x:v>120</x:v>
      </x:c>
      <x:c r="P20" s="4" t="n">
        <x:v>360</x:v>
      </x:c>
      <x:c r="Q20" s="4" t="n">
        <x:v>0</x:v>
      </x:c>
      <x:c r="R20" s="4" t="n">
        <x:v>3500000000</x:v>
      </x:c>
      <x:c r="S20" s="4" t="n">
        <x:v>100</x:v>
      </x:c>
      <x:c r="T20" s="4" t="n">
        <x:v>100.3605998</x:v>
      </x:c>
      <x:c r="U20" s="4" t="n">
        <x:v>10</x:v>
      </x:c>
      <x:c r="V20" s="4" t="n">
        <x:v>200</x:v>
      </x:c>
      <x:c r="W20" s="4" t="n">
        <x:v>100000000</x:v>
      </x:c>
      <x:c r="X20" s="4" t="n">
        <x:v>2</x:v>
      </x:c>
      <x:c r="Y20" s="4" t="str">
        <x:v>DL|UL|UL|UL|</x:v>
      </x:c>
      <x:c r="Z20" s="4" t="n">
        <x:v>1400</x:v>
      </x:c>
      <x:c r="AA20" s="4" t="n">
        <x:v>1048576</x:v>
      </x:c>
      <x:c r="AB20" s="4" t="n">
        <x:v>42</x:v>
      </x:c>
      <x:c r="AC20" s="4" t="n">
        <x:v>4</x:v>
      </x:c>
      <x:c r="AD20" s="10" t="n">
        <x:v>203.9995104</x:v>
      </x:c>
      <x:c r="AE20" s="10" t="n">
        <x:v>199.99952</x:v>
      </x:c>
      <x:c r="AF20" s="10" t="n">
        <x:v>3.640709699</x:v>
      </x:c>
      <x:c r="AG20" s="10" t="n">
        <x:v>0.099028799</x:v>
      </x:c>
      <x:c r="AH20" s="10" t="n">
        <x:v>0</x:v>
      </x:c>
      <x:c r="AI20" s="4" t="n">
        <x:v>178571</x:v>
      </x:c>
      <x:c r="AJ20" s="4" t="n">
        <x:v>178571</x:v>
      </x:c>
      <x:c r="AK20" s="4" t="n">
        <x:v>254999388</x:v>
      </x:c>
      <x:c r="AL20" s="4" t="n">
        <x:v>0</x:v>
      </x:c>
      <x:c r="AM20" s="4" t="str">
        <x:v>experiments/execution_178/batch_dataset.csv</x:v>
      </x:c>
    </x:row>
    <x:row r="21" ht="23" customHeight="1">
      <x:c r="A21" s="4" t="str">
        <x:v>success</x:v>
      </x:c>
      <x:c r="B21" s="4" t="n">
        <x:v>5</x:v>
      </x:c>
      <x:c r="C21" s="4" t="str">
        <x:v>harq_processes_16_run_5</x:v>
      </x:c>
      <x:c r="D21" s="4" t="n">
        <x:v>179</x:v>
      </x:c>
      <x:c r="E21" s="4" t="str">
        <x:v>ns3</x:v>
      </x:c>
      <x:c r="F21" s="4" t="str">
        <x:v>experiments/execution_179/experiment_5/config.json</x:v>
      </x:c>
      <x:c r="G21" s="4" t="str">
        <x:v>experiments/execution_179/experiment_5/results.json</x:v>
      </x:c>
      <x:c r="H21" s="4" t="str">
        <x:v>/home/dinos/ns-allinone-3.47/ns-3.47/experiments/execution_179/experiment_5</x:v>
      </x:c>
      <x:c r="I21" s="5" t="b">
        <x:v>1</x:v>
      </x:c>
      <x:c r="J21" s="4" t="n">
        <x:v>3</x:v>
      </x:c>
      <x:c r="K21" s="4" t="n">
        <x:v>16</x:v>
      </x:c>
      <x:c r="L21" s="4" t="str">
        <x:v>Cosine</x:v>
      </x:c>
      <x:c r="M21" s="4" t="n">
        <x:v>0</x:v>
      </x:c>
      <x:c r="N21" s="4" t="n">
        <x:v>0</x:v>
      </x:c>
      <x:c r="O21" s="4" t="n">
        <x:v>120</x:v>
      </x:c>
      <x:c r="P21" s="4" t="n">
        <x:v>360</x:v>
      </x:c>
      <x:c r="Q21" s="4" t="n">
        <x:v>0</x:v>
      </x:c>
      <x:c r="R21" s="4" t="n">
        <x:v>3500000000</x:v>
      </x:c>
      <x:c r="S21" s="4" t="n">
        <x:v>100</x:v>
      </x:c>
      <x:c r="T21" s="4" t="n">
        <x:v>100.3605998</x:v>
      </x:c>
      <x:c r="U21" s="4" t="n">
        <x:v>10</x:v>
      </x:c>
      <x:c r="V21" s="4" t="n">
        <x:v>200</x:v>
      </x:c>
      <x:c r="W21" s="4" t="n">
        <x:v>100000000</x:v>
      </x:c>
      <x:c r="X21" s="4" t="n">
        <x:v>2</x:v>
      </x:c>
      <x:c r="Y21" s="4" t="str">
        <x:v>DL|UL|UL|UL|</x:v>
      </x:c>
      <x:c r="Z21" s="4" t="n">
        <x:v>1400</x:v>
      </x:c>
      <x:c r="AA21" s="4" t="n">
        <x:v>1048576</x:v>
      </x:c>
      <x:c r="AB21" s="4" t="n">
        <x:v>42</x:v>
      </x:c>
      <x:c r="AC21" s="4" t="n">
        <x:v>5</x:v>
      </x:c>
      <x:c r="AD21" s="10" t="n">
        <x:v>203.9995104</x:v>
      </x:c>
      <x:c r="AE21" s="10" t="n">
        <x:v>199.99952</x:v>
      </x:c>
      <x:c r="AF21" s="10" t="n">
        <x:v>3.645256648</x:v>
      </x:c>
      <x:c r="AG21" s="10" t="n">
        <x:v>0.099023061</x:v>
      </x:c>
      <x:c r="AH21" s="10" t="n">
        <x:v>0</x:v>
      </x:c>
      <x:c r="AI21" s="4" t="n">
        <x:v>178571</x:v>
      </x:c>
      <x:c r="AJ21" s="4" t="n">
        <x:v>178571</x:v>
      </x:c>
      <x:c r="AK21" s="4" t="n">
        <x:v>254999388</x:v>
      </x:c>
      <x:c r="AL21" s="4" t="n">
        <x:v>0</x:v>
      </x:c>
      <x:c r="AM21" s="4" t="str">
        <x:v>experiments/execution_179/batch_dataset.csv</x:v>
      </x:c>
    </x:row>
  </x:sheetData>
  <x:pageMargins left="0.7" right="0.7" top="0.75" bottom="0.75" header="0.3" footer="0.3"/>
  <x:tableParts count="1">
    <x:tablePart xmlns:r="http://schemas.openxmlformats.org/officeDocument/2006/relationships" r:id="R065860865f76433c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00" hidden="0" customWidth="1"/>
  </x:cols>
  <x:sheetData>
    <x:row r="1" ht="26" customHeight="1">
      <x:c r="A1" s="17" t="str">
        <x:v>Πεδίο</x:v>
      </x:c>
      <x:c r="B1" s="17" t="str">
        <x:v>Καταγραφή</x:v>
      </x:c>
    </x:row>
    <x:row r="2" ht="26" customHeight="1">
      <x:c r="A2" s="15" t="str">
        <x:v>experiment_id</x:v>
      </x:c>
      <x:c r="B2" s="15" t="str">
        <x:v>harq_processes_1_run_1</x:v>
      </x:c>
    </x:row>
    <x:row r="3" ht="26" customHeight="1">
      <x:c r="A3" s="15" t="str">
        <x:v>execution</x:v>
      </x:c>
      <x:c r="B3" s="15" t="n">
        <x:v>175</x:v>
      </x:c>
    </x:row>
    <x:row r="4" ht="26" customHeight="1">
      <x:c r="A4" s="15" t="str">
        <x:v>HARQ processes</x:v>
      </x:c>
      <x:c r="B4" s="15" t="n">
        <x:v>1</x:v>
      </x:c>
    </x:row>
    <x:row r="5" ht="26" customHeight="1">
      <x:c r="A5" s="15" t="str">
        <x:v>run</x:v>
      </x:c>
      <x:c r="B5" s="15" t="n">
        <x:v>1</x:v>
      </x:c>
    </x:row>
    <x:row r="6" ht="26" customHeight="1">
      <x:c r="A6" s="15" t="str">
        <x:v>exit code</x:v>
      </x:c>
      <x:c r="B6" s="15" t="n">
        <x:v>250</x:v>
      </x:c>
    </x:row>
    <x:row r="7" ht="26" customHeight="1">
      <x:c r="A7" s="15" t="str">
        <x:v>Σφάλμα</x:v>
      </x:c>
      <x:c r="B7" s="15" t="str">
        <x:v>Received feedback for a process which is not active</x:v>
      </x:c>
    </x:row>
    <x:row r="8" ht="26" customHeight="1">
      <x:c r="A8" s="15" t="str">
        <x:v>Ανάλυση</x:v>
      </x:c>
      <x:c r="B8" s="15" t="str">
        <x:v>Εκτός στατιστικής. Δεν αποτελεί μέτρηση μηδενικού throughput.</x:v>
      </x:c>
    </x:row>
    <x:row r="9" ht="26" customHeight="1">
      <x:c r="A9" s="15"/>
      <x:c r="B9" s="15"/>
    </x:row>
    <x:row r="10" ht="26" customHeight="1">
      <x:c r="A10" s="15" t="str">
        <x:v>Πηγή</x:v>
      </x:c>
      <x:c r="B10" s="15" t="str">
        <x:v>experiments/execution_175/batch_failures.json</x:v>
      </x:c>
    </x:row>
    <x:row r="11" ht="26" customHeight="1">
      <x:c r="A11" s="15"/>
      <x:c r="B11" s="15"/>
    </x:row>
    <x:row r="12" ht="26" customHeight="1">
      <x:c r="A12" s="15"/>
      <x:c r="B12" s="15"/>
    </x:row>
  </x:sheetData>
  <x:pageMargins left="0.7" right="0.7" top="0.75" bottom="0.75" header="0.3" footer="0.3"/>
</x:worksheet>
</file>