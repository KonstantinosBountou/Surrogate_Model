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bdac77eb3e49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stance" sheetId="1" r:id="R3a75f432f2334619"/>
    <x:sheet xmlns:r="http://schemas.openxmlformats.org/officeDocument/2006/relationships" name="Raw data" sheetId="2" r:id="Rd944d5a6accd48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0"/>
    <x:numFmt numFmtId="201" formatCode="0.00"/>
  </x:numFmts>
  <x:fonts count="4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  <x:font>
      <x:b/>
      <x:sz val="16"/>
      <x:color rgb="FF17365D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8d5e435ce745a4" /><Relationship Type="http://schemas.openxmlformats.org/officeDocument/2006/relationships/theme" Target="/xl/theme/theme1.xml" Id="Rb81b926798c04921" /><Relationship Type="http://schemas.openxmlformats.org/officeDocument/2006/relationships/sharedStrings" Target="/xl/sharedStrings.xml" Id="R50714e2f24a04caa" /><Relationship Type="http://schemas.openxmlformats.org/officeDocument/2006/relationships/worksheet" Target="/xl/worksheets/sheet1.xml" Id="R3a75f432f2334619" /><Relationship Type="http://schemas.openxmlformats.org/officeDocument/2006/relationships/worksheet" Target="/xl/worksheets/sheet2.xml" Id="Rd944d5a6accd480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1ee2cc2b87743d7" /><Relationship Type="http://schemas.openxmlformats.org/officeDocument/2006/relationships/chart" Target="/xl/drawings/charts/chart2.xml" Id="Rdc5f1b68254a4f0c" /><Relationship Type="http://schemas.openxmlformats.org/officeDocument/2006/relationships/chart" Target="/xl/drawings/charts/chart3.xml" Id="Rae8132d19d4549f0" /><Relationship Type="http://schemas.openxmlformats.org/officeDocument/2006/relationships/chart" Target="/xl/drawings/charts/chart4.xml" Id="R654a75e64eed4db9" /></Relationships>
</file>

<file path=xl/drawings/charts/chart1.xml><?xml version="1.0" encoding="utf-8"?>
<c:chartSpace xmlns:a="http://schemas.openxmlformats.org/drawingml/2006/main" xmlns:c="http://schemas.openxmlformats.org/drawingml/2006/chart">
  <c:lang val="en-US"/>
  <c:roundedCorners val="0"/>
  <c:chart>
    <c:title>
      <c:tx>
        <c:rich>
          <a:bodyPr/>
          <a:lstStyle/>
          <a:p>
            <a:r>
              <a:rPr sz="1050">
                <a:latin typeface="Arial"/>
                <a:ea typeface="Arial"/>
                <a:cs typeface="Arial"/>
              </a:rPr>
              <a:t>Throughput and goodput</a:t>
            </a:r>
          </a:p>
        </c:rich>
      </c:tx>
      <c:overlay val="0"/>
      <c:txPr>
        <a:bodyPr anchorCtr="1"/>
        <a:lstStyle/>
        <a:p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scatterChart>
        <c:scatterStyle val="lineMarker"/>
        <c:ser>
          <c:idx val="0"/>
          <c:order val="0"/>
          <c:tx>
            <c:v>Throughput (Mbps)</c:v>
          </c:tx>
          <c:spPr>
            <a:solidFill>
              <a:srgbClr val="2166AC"/>
            </a:solidFill>
            <a:ln w="19050">
              <a:solidFill>
                <a:srgbClr val="2166AC"/>
              </a:solidFill>
              <a:prstDash val="solid"/>
            </a:ln>
          </c:spPr>
          <c:errBars>
            <c:errDir val="y"/>
            <c:errBarType val="both"/>
            <c:errValType val="cust"/>
            <c:noEndCap val="0"/>
            <c:plus>
              <c:numRef>
                <c:f>'Distance'!$G$58:$G$63</c:f>
                <c:numCache>
                  <c:formatCode>0.000000</c:formatCode>
                  <c:ptCount val="6"/>
                  <c:pt idx="0">
                    <c:v>0.0</c:v>
                  </c:pt>
                  <c:pt idx="1">
                    <c:v>0.0</c:v>
                  </c:pt>
                  <c:pt idx="2">
                    <c:v>0.0</c:v>
                  </c:pt>
                  <c:pt idx="3">
                    <c:v>0.34814778231062304</c:v>
                  </c:pt>
                  <c:pt idx="4">
                    <c:v>0.0</c:v>
                  </c:pt>
                  <c:pt idx="5">
                    <c:v>0.0</c:v>
                  </c:pt>
                </c:numCache>
              </c:numRef>
            </c:plus>
            <c:minus>
              <c:numRef>
                <c:f>'Distance'!$G$58:$G$63</c:f>
                <c:numCache>
                  <c:formatCode>0.000000</c:formatCode>
                  <c:ptCount val="6"/>
                  <c:pt idx="0">
                    <c:v>0.0</c:v>
                  </c:pt>
                  <c:pt idx="1">
                    <c:v>0.0</c:v>
                  </c:pt>
                  <c:pt idx="2">
                    <c:v>0.0</c:v>
                  </c:pt>
                  <c:pt idx="3">
                    <c:v>0.34814778231062304</c:v>
                  </c:pt>
                  <c:pt idx="4">
                    <c:v>0.0</c:v>
                  </c:pt>
                  <c:pt idx="5">
                    <c:v>0.0</c:v>
                  </c:pt>
                </c:numCache>
              </c:numRef>
            </c:minus>
          </c:errBars>
          <c:xVal>
            <c:numRef>
              <c:f>'Distance'!$A$58:$A$63</c:f>
              <c:numCache>
                <c:formatCode>General</c:formatCode>
                <c:ptCount val="0"/>
              </c:numCache>
            </c:numRef>
          </c:xVal>
          <c:yVal>
            <c:numRef>
              <c:f>'Distance'!$B$58:$B$63</c:f>
              <c:numCache>
                <c:formatCode>0.00000</c:formatCode>
                <c:ptCount val="0"/>
              </c:numCache>
            </c:numRef>
          </c:yVal>
        </c:ser>
        <c:ser>
          <c:idx val="1"/>
          <c:order val="1"/>
          <c:tx>
            <c:v>Goodput (Mbps)</c:v>
          </c:tx>
          <c:spPr>
            <a:solidFill>
              <a:srgbClr val="E28A22"/>
            </a:solidFill>
            <a:ln w="19050">
              <a:solidFill>
                <a:srgbClr val="E28A22"/>
              </a:solidFill>
              <a:prstDash val="solid"/>
            </a:ln>
          </c:spPr>
          <c:errBars>
            <c:errDir val="y"/>
            <c:errBarType val="both"/>
            <c:errValType val="cust"/>
            <c:noEndCap val="0"/>
            <c:plus>
              <c:numRef>
                <c:f>'Distance'!$H$58:$H$63</c:f>
                <c:numCache>
                  <c:formatCode>0.000000</c:formatCode>
                  <c:ptCount val="6"/>
                  <c:pt idx="0">
                    <c:v>0.0</c:v>
                  </c:pt>
                  <c:pt idx="1">
                    <c:v>0.0</c:v>
                  </c:pt>
                  <c:pt idx="2">
                    <c:v>0.0</c:v>
                  </c:pt>
                  <c:pt idx="3">
                    <c:v>0.34132135520649987</c:v>
                  </c:pt>
                  <c:pt idx="4">
                    <c:v>0.0</c:v>
                  </c:pt>
                  <c:pt idx="5">
                    <c:v>0.0</c:v>
                  </c:pt>
                </c:numCache>
              </c:numRef>
            </c:plus>
            <c:minus>
              <c:numRef>
                <c:f>'Distance'!$H$58:$H$63</c:f>
                <c:numCache>
                  <c:formatCode>0.000000</c:formatCode>
                  <c:ptCount val="6"/>
                  <c:pt idx="0">
                    <c:v>0.0</c:v>
                  </c:pt>
                  <c:pt idx="1">
                    <c:v>0.0</c:v>
                  </c:pt>
                  <c:pt idx="2">
                    <c:v>0.0</c:v>
                  </c:pt>
                  <c:pt idx="3">
                    <c:v>0.34132135520649987</c:v>
                  </c:pt>
                  <c:pt idx="4">
                    <c:v>0.0</c:v>
                  </c:pt>
                  <c:pt idx="5">
                    <c:v>0.0</c:v>
                  </c:pt>
                </c:numCache>
              </c:numRef>
            </c:minus>
          </c:errBars>
          <c:xVal>
            <c:numRef>
              <c:f>'Distance'!$A$58:$A$63</c:f>
              <c:numCache>
                <c:formatCode>General</c:formatCode>
                <c:ptCount val="0"/>
              </c:numCache>
            </c:numRef>
          </c:xVal>
          <c:yVal>
            <c:numRef>
              <c:f>'Distance'!$C$58:$C$63</c:f>
              <c:numCache>
                <c:formatCode>0.00000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t>Rate (Mbps)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t>UE-gNB horizontal distance (m)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valAx>
    </c:plotArea>
    <c:legend>
      <c:legendPos val="b"/>
      <c:overlay val="0"/>
    </c:legend>
    <c:plotVisOnly val="1"/>
  </c:chart>
  <c:spPr>
    <a:ln w="9525">
      <a:solidFill>
        <a:srgbClr val="D9D9D9"/>
      </a:solidFill>
      <a:prstDash val="solid"/>
    </a:ln>
  </c:spPr>
</c:chartSpace>
</file>

<file path=xl/drawings/charts/chart2.xml><?xml version="1.0" encoding="utf-8"?>
<c:chartSpace xmlns:a="http://schemas.openxmlformats.org/drawingml/2006/main" xmlns:c="http://schemas.openxmlformats.org/drawingml/2006/chart">
  <c:lang val="en-US"/>
  <c:roundedCorners val="0"/>
  <c:chart>
    <c:title>
      <c:tx>
        <c:rich>
          <a:bodyPr/>
          <a:lstStyle/>
          <a:p>
            <a:r>
              <a:rPr sz="1050">
                <a:latin typeface="Arial"/>
                <a:ea typeface="Arial"/>
                <a:cs typeface="Arial"/>
              </a:rPr>
              <a:t>End-to-end delay</a:t>
            </a:r>
          </a:p>
        </c:rich>
      </c:tx>
      <c:overlay val="0"/>
      <c:txPr>
        <a:bodyPr anchorCtr="1"/>
        <a:lstStyle/>
        <a:p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scatterChart>
        <c:scatterStyle val="lineMarker"/>
        <c:ser>
          <c:idx val="0"/>
          <c:order val="0"/>
          <c:tx>
            <c:v>Delay (ms)</c:v>
          </c:tx>
          <c:spPr>
            <a:solidFill>
              <a:srgbClr val="2166AC"/>
            </a:solidFill>
            <a:ln w="19050">
              <a:solidFill>
                <a:srgbClr val="2166AC"/>
              </a:solidFill>
              <a:prstDash val="solid"/>
            </a:ln>
          </c:spPr>
          <c:errBars>
            <c:errDir val="y"/>
            <c:errBarType val="both"/>
            <c:errValType val="cust"/>
            <c:noEndCap val="0"/>
            <c:plus>
              <c:numRef>
                <c:f>'Distance'!$I$58:$I$63</c:f>
                <c:numCache>
                  <c:formatCode>0.000000</c:formatCode>
                  <c:ptCount val="6"/>
                  <c:pt idx="0">
                    <c:v>0.003835534434648349</c:v>
                  </c:pt>
                  <c:pt idx="1">
                    <c:v>0.0063940773572415555</c:v>
                  </c:pt>
                  <c:pt idx="2">
                    <c:v>0.003964022385571858</c:v>
                  </c:pt>
                  <c:pt idx="3">
                    <c:v>4.41663296319074</c:v>
                  </c:pt>
                  <c:pt idx="4">
                    <c:v>0.002569291640533761</c:v>
                  </c:pt>
                  <c:pt idx="5">
                    <c:v>0.001760476605816328</c:v>
                  </c:pt>
                </c:numCache>
              </c:numRef>
            </c:plus>
            <c:minus>
              <c:numRef>
                <c:f>'Distance'!$I$58:$I$63</c:f>
                <c:numCache>
                  <c:formatCode>0.000000</c:formatCode>
                  <c:ptCount val="6"/>
                  <c:pt idx="0">
                    <c:v>0.003835534434648349</c:v>
                  </c:pt>
                  <c:pt idx="1">
                    <c:v>0.0063940773572415555</c:v>
                  </c:pt>
                  <c:pt idx="2">
                    <c:v>0.003964022385571858</c:v>
                  </c:pt>
                  <c:pt idx="3">
                    <c:v>4.41663296319074</c:v>
                  </c:pt>
                  <c:pt idx="4">
                    <c:v>0.002569291640533761</c:v>
                  </c:pt>
                  <c:pt idx="5">
                    <c:v>0.001760476605816328</c:v>
                  </c:pt>
                </c:numCache>
              </c:numRef>
            </c:minus>
          </c:errBars>
          <c:xVal>
            <c:numRef>
              <c:f>'Distance'!$A$58:$A$63</c:f>
              <c:numCache>
                <c:formatCode>General</c:formatCode>
                <c:ptCount val="0"/>
              </c:numCache>
            </c:numRef>
          </c:xVal>
          <c:yVal>
            <c:numRef>
              <c:f>'Distance'!$D$58:$D$63</c:f>
              <c:numCache>
                <c:formatCode>0.00000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t>Delay (ms)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t>UE-gNB horizontal distance (m)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valAx>
    </c:plotArea>
    <c:plotVisOnly val="1"/>
  </c:chart>
  <c:spPr>
    <a:ln w="9525">
      <a:solidFill>
        <a:srgbClr val="D9D9D9"/>
      </a:solidFill>
      <a:prstDash val="solid"/>
    </a:ln>
  </c:spPr>
</c:chartSpace>
</file>

<file path=xl/drawings/charts/chart3.xml><?xml version="1.0" encoding="utf-8"?>
<c:chartSpace xmlns:a="http://schemas.openxmlformats.org/drawingml/2006/main" xmlns:c="http://schemas.openxmlformats.org/drawingml/2006/chart">
  <c:lang val="en-US"/>
  <c:roundedCorners val="0"/>
  <c:chart>
    <c:title>
      <c:tx>
        <c:rich>
          <a:bodyPr/>
          <a:lstStyle/>
          <a:p>
            <a:r>
              <a:rPr sz="1050">
                <a:latin typeface="Arial"/>
                <a:ea typeface="Arial"/>
                <a:cs typeface="Arial"/>
              </a:rPr>
              <a:t>Packet loss after drain</a:t>
            </a:r>
          </a:p>
        </c:rich>
      </c:tx>
      <c:overlay val="0"/>
      <c:txPr>
        <a:bodyPr anchorCtr="1"/>
        <a:lstStyle/>
        <a:p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scatterChart>
        <c:scatterStyle val="lineMarker"/>
        <c:ser>
          <c:idx val="0"/>
          <c:order val="0"/>
          <c:tx>
            <c:v>Loss (%)</c:v>
          </c:tx>
          <c:spPr>
            <a:solidFill>
              <a:srgbClr val="2166AC"/>
            </a:solidFill>
            <a:ln w="19050">
              <a:solidFill>
                <a:srgbClr val="2166AC"/>
              </a:solidFill>
              <a:prstDash val="solid"/>
            </a:ln>
          </c:spPr>
          <c:errBars>
            <c:errDir val="y"/>
            <c:errBarType val="both"/>
            <c:errValType val="cust"/>
            <c:noEndCap val="0"/>
            <c:plus>
              <c:numRef>
                <c:f>'Distance'!$K$58:$K$63</c:f>
                <c:numCache>
                  <c:formatCode>0.000000</c:formatCode>
                  <c:ptCount val="6"/>
                  <c:pt idx="0">
                    <c:v>0.0</c:v>
                  </c:pt>
                  <c:pt idx="1">
                    <c:v>0.0</c:v>
                  </c:pt>
                  <c:pt idx="2">
                    <c:v>0.0</c:v>
                  </c:pt>
                  <c:pt idx="3">
                    <c:v>0.17066109317173833</c:v>
                  </c:pt>
                  <c:pt idx="4">
                    <c:v>0.0</c:v>
                  </c:pt>
                  <c:pt idx="5">
                    <c:v>0.0</c:v>
                  </c:pt>
                </c:numCache>
              </c:numRef>
            </c:plus>
            <c:minus>
              <c:numRef>
                <c:f>'Distance'!$K$58:$K$63</c:f>
                <c:numCache>
                  <c:formatCode>0.000000</c:formatCode>
                  <c:ptCount val="6"/>
                  <c:pt idx="0">
                    <c:v>0.0</c:v>
                  </c:pt>
                  <c:pt idx="1">
                    <c:v>0.0</c:v>
                  </c:pt>
                  <c:pt idx="2">
                    <c:v>0.0</c:v>
                  </c:pt>
                  <c:pt idx="3">
                    <c:v>0.17066109317173833</c:v>
                  </c:pt>
                  <c:pt idx="4">
                    <c:v>0.0</c:v>
                  </c:pt>
                  <c:pt idx="5">
                    <c:v>0.0</c:v>
                  </c:pt>
                </c:numCache>
              </c:numRef>
            </c:minus>
          </c:errBars>
          <c:xVal>
            <c:numRef>
              <c:f>'Distance'!$A$58:$A$63</c:f>
              <c:numCache>
                <c:formatCode>General</c:formatCode>
                <c:ptCount val="0"/>
              </c:numCache>
            </c:numRef>
          </c:xVal>
          <c:yVal>
            <c:numRef>
              <c:f>'Distance'!$F$58:$F$63</c:f>
              <c:numCache>
                <c:formatCode>0.00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t>Loss (%)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t>UE-gNB horizontal distance (m)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valAx>
    </c:plotArea>
    <c:plotVisOnly val="1"/>
  </c:chart>
  <c:spPr>
    <a:ln w="9525">
      <a:solidFill>
        <a:srgbClr val="D9D9D9"/>
      </a:solidFill>
      <a:prstDash val="solid"/>
    </a:ln>
  </c:spPr>
</c:chartSpace>
</file>

<file path=xl/drawings/charts/chart4.xml><?xml version="1.0" encoding="utf-8"?>
<c:chartSpace xmlns:a="http://schemas.openxmlformats.org/drawingml/2006/main" xmlns:c="http://schemas.openxmlformats.org/drawingml/2006/chart">
  <c:lang val="en-US"/>
  <c:roundedCorners val="0"/>
  <c:chart>
    <c:title>
      <c:tx>
        <c:rich>
          <a:bodyPr/>
          <a:lstStyle/>
          <a:p>
            <a:r>
              <a:rPr sz="1050">
                <a:latin typeface="Arial"/>
                <a:ea typeface="Arial"/>
                <a:cs typeface="Arial"/>
              </a:rPr>
              <a:t>Jitter</a:t>
            </a:r>
          </a:p>
        </c:rich>
      </c:tx>
      <c:overlay val="0"/>
      <c:txPr>
        <a:bodyPr anchorCtr="1"/>
        <a:lstStyle/>
        <a:p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scatterChart>
        <c:scatterStyle val="lineMarker"/>
        <c:ser>
          <c:idx val="0"/>
          <c:order val="0"/>
          <c:tx>
            <c:v>Jitter (ms)</c:v>
          </c:tx>
          <c:spPr>
            <a:solidFill>
              <a:srgbClr val="2166AC"/>
            </a:solidFill>
            <a:ln w="19050">
              <a:solidFill>
                <a:srgbClr val="2166AC"/>
              </a:solidFill>
              <a:prstDash val="solid"/>
            </a:ln>
          </c:spPr>
          <c:errBars>
            <c:errDir val="y"/>
            <c:errBarType val="both"/>
            <c:errValType val="cust"/>
            <c:noEndCap val="0"/>
            <c:plus>
              <c:numRef>
                <c:f>'Distance'!$J$58:$J$63</c:f>
                <c:numCache>
                  <c:formatCode>0.000000</c:formatCode>
                  <c:ptCount val="6"/>
                  <c:pt idx="0">
                    <c:v>5.9366383397508525e-05</c:v>
                  </c:pt>
                  <c:pt idx="1">
                    <c:v>3.185287928115505e-05</c:v>
                  </c:pt>
                  <c:pt idx="2">
                    <c:v>4.979712989520944e-05</c:v>
                  </c:pt>
                  <c:pt idx="3">
                    <c:v>0.0005149892189407413</c:v>
                  </c:pt>
                  <c:pt idx="4">
                    <c:v>0.0001686824633807544</c:v>
                  </c:pt>
                  <c:pt idx="5">
                    <c:v>6.22038763848361e-05</c:v>
                  </c:pt>
                </c:numCache>
              </c:numRef>
            </c:plus>
            <c:minus>
              <c:numRef>
                <c:f>'Distance'!$J$58:$J$63</c:f>
                <c:numCache>
                  <c:formatCode>0.000000</c:formatCode>
                  <c:ptCount val="6"/>
                  <c:pt idx="0">
                    <c:v>5.9366383397508525e-05</c:v>
                  </c:pt>
                  <c:pt idx="1">
                    <c:v>3.185287928115505e-05</c:v>
                  </c:pt>
                  <c:pt idx="2">
                    <c:v>4.979712989520944e-05</c:v>
                  </c:pt>
                  <c:pt idx="3">
                    <c:v>0.0005149892189407413</c:v>
                  </c:pt>
                  <c:pt idx="4">
                    <c:v>0.0001686824633807544</c:v>
                  </c:pt>
                  <c:pt idx="5">
                    <c:v>6.22038763848361e-05</c:v>
                  </c:pt>
                </c:numCache>
              </c:numRef>
            </c:minus>
          </c:errBars>
          <c:xVal>
            <c:numRef>
              <c:f>'Distance'!$A$58:$A$63</c:f>
              <c:numCache>
                <c:formatCode>General</c:formatCode>
                <c:ptCount val="0"/>
              </c:numCache>
            </c:numRef>
          </c:xVal>
          <c:yVal>
            <c:numRef>
              <c:f>'Distance'!$E$58:$E$63</c:f>
              <c:numCache>
                <c:formatCode>0.00000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t>Jitter (ms)</a:t>
                </a:r>
              </a:p>
            </c:rich>
          </c:tx>
          <c:overlay val="0"/>
        </c:title>
        <c:numFmt formatCode="0.000" sourceLinked="0"/>
        <c:majorTickMark val="none"/>
        <c:minorTickMark val="none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t>UE-gNB horizontal distance (m)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valAx>
    </c:plotArea>
    <c:plotVisOnly val="1"/>
  </c:chart>
  <c:spPr>
    <a:ln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9</xdr:row>
      <xdr:rowOff>0</xdr:rowOff>
    </xdr:from>
    <xdr:to>
      <xdr:col>9</xdr:col>
      <xdr:colOff>0</xdr:colOff>
      <xdr:row>32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1ee2cc2b87743d7"/>
        </a:graphicData>
      </a:graphic>
    </xdr:graphicFrame>
    <xdr:clientData/>
  </xdr:twoCellAnchor>
  <xdr:twoCellAnchor>
    <xdr:from>
      <xdr:col>9</xdr:col>
      <xdr:colOff>0</xdr:colOff>
      <xdr:row>9</xdr:row>
      <xdr:rowOff>0</xdr:rowOff>
    </xdr:from>
    <xdr:to>
      <xdr:col>18</xdr:col>
      <xdr:colOff>0</xdr:colOff>
      <xdr:row>32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c5f1b68254a4f0c"/>
        </a:graphicData>
      </a:graphic>
    </xdr:graphicFrame>
    <xdr:clientData/>
  </xdr:twoCellAnchor>
  <xdr:twoCellAnchor>
    <xdr:from>
      <xdr:col>0</xdr:col>
      <xdr:colOff>0</xdr:colOff>
      <xdr:row>33</xdr:row>
      <xdr:rowOff>0</xdr:rowOff>
    </xdr:from>
    <xdr:to>
      <xdr:col>9</xdr:col>
      <xdr:colOff>0</xdr:colOff>
      <xdr:row>56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e8132d19d4549f0"/>
        </a:graphicData>
      </a:graphic>
    </xdr:graphicFrame>
    <xdr:clientData/>
  </xdr:twoCellAnchor>
  <xdr:twoCellAnchor>
    <xdr:from>
      <xdr:col>9</xdr:col>
      <xdr:colOff>0</xdr:colOff>
      <xdr:row>33</xdr:row>
      <xdr:rowOff>0</xdr:rowOff>
    </xdr:from>
    <xdr:to>
      <xdr:col>18</xdr:col>
      <xdr:colOff>0</xdr:colOff>
      <xdr:row>56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54a75e64eed4db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5e07c36e8b1417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</x:cols>
  <x:sheetData>
    <x:row r="1" ht="21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</x:row>
    <x:row r="2" ht="21" customHeight="1">
      <x:c r="A2" s="5" t="str">
        <x:v>UE-gNB distance — 25–300 m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</x:row>
    <x:row r="3" ht="21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</x:row>
    <x:row r="4" ht="21" customHeight="1">
      <x:c r="A4" s="1" t="str">
        <x:v>Mean of five runs (1–5), seed 42. Error bars = ±1 sample SD, not confidence intervals.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</x:row>
    <x:row r="5" ht="21" customHeight="1">
      <x:c r="A5" s="1" t="str">
        <x:v>Offered load 200 Mbps; bandwidth 100 MHz; UE power 10 dBm; numerology 2; TDD DL|UL|UL|UL|.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  <x:c r="AA5" s="1"/>
      <x:c r="AB5" s="1"/>
    </x:row>
    <x:row r="6" ht="21" customHeight="1">
      <x:c r="A6" s="1" t="str">
        <x:v>Payload 1400 B; RLC buffer 1 MiB; application window 10 s; drain 2 s.</x:v>
      </x:c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  <x:c r="AA6" s="1"/>
      <x:c r="AB6" s="1"/>
    </x:row>
    <x:row r="7" ht="21" customHeight="1">
      <x:c r="A7" s="1" t="str">
        <x:v>Loss = packets not received after drain / transmitted packets. Delay and jitter describe received packets.</x:v>
      </x:c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  <x:c r="AA7" s="1"/>
      <x:c r="AB7" s="1"/>
    </x:row>
    <x:row r="8" ht="21" customHeight="1">
      <x:c r="A8" s="1" t="str">
        <x:v>Drain 5 s reproduced run 1 metrics; this validation is excluded from the five-run averages.</x:v>
      </x:c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  <x:c r="AA8" s="1"/>
      <x:c r="AB8" s="1"/>
    </x:row>
    <x:row r="9" ht="21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  <x:c r="AA9" s="1"/>
      <x:c r="AB9" s="1"/>
    </x:row>
    <x:row r="10" ht="21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  <x:c r="AA10" s="1"/>
      <x:c r="AB10" s="1"/>
    </x:row>
    <x:row r="11" ht="21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  <x:c r="AA11" s="1"/>
      <x:c r="AB11" s="1"/>
    </x:row>
    <x:row r="12" ht="21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  <x:c r="AA12" s="1"/>
      <x:c r="AB12" s="1"/>
    </x:row>
    <x:row r="13" ht="21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  <x:c r="AA13" s="1"/>
      <x:c r="AB13" s="1"/>
    </x:row>
    <x:row r="14" ht="21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  <x:c r="AA14" s="1"/>
      <x:c r="AB14" s="1"/>
    </x:row>
    <x:row r="15" ht="21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  <x:c r="AA15" s="1"/>
      <x:c r="AB15" s="1"/>
    </x:row>
    <x:row r="16" ht="21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  <x:c r="AA16" s="1"/>
      <x:c r="AB16" s="1"/>
    </x:row>
    <x:row r="17" ht="21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  <x:c r="AA17" s="1"/>
      <x:c r="AB17" s="1"/>
    </x:row>
    <x:row r="18" ht="21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  <x:c r="AA18" s="1"/>
      <x:c r="AB18" s="1"/>
    </x:row>
    <x:row r="19" ht="21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  <x:c r="AA19" s="1"/>
      <x:c r="AB19" s="1"/>
    </x:row>
    <x:row r="20" ht="21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  <x:c r="AA20" s="1"/>
      <x:c r="AB20" s="1"/>
    </x:row>
    <x:row r="21" ht="21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  <x:c r="AA21" s="1"/>
      <x:c r="AB21" s="1"/>
    </x:row>
    <x:row r="22" ht="21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  <x:c r="AA22" s="1"/>
      <x:c r="AB22" s="1"/>
    </x:row>
    <x:row r="23" ht="21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  <x:c r="AA23" s="1"/>
      <x:c r="AB23" s="1"/>
    </x:row>
    <x:row r="24" ht="21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  <x:c r="AA24" s="1"/>
      <x:c r="AB24" s="1"/>
    </x:row>
    <x:row r="25" ht="21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  <x:c r="AA25" s="1"/>
      <x:c r="AB25" s="1"/>
    </x:row>
    <x:row r="26" ht="21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  <x:c r="AA26" s="1"/>
      <x:c r="AB26" s="1"/>
    </x:row>
    <x:row r="27" ht="21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  <x:c r="AA27" s="1"/>
      <x:c r="AB27" s="1"/>
    </x:row>
    <x:row r="28" ht="21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  <x:c r="AA28" s="1"/>
      <x:c r="AB28" s="1"/>
    </x:row>
    <x:row r="29" ht="21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  <x:c r="AA29" s="1"/>
      <x:c r="AB29" s="1"/>
    </x:row>
    <x:row r="30" ht="21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  <x:c r="AA30" s="1"/>
      <x:c r="AB30" s="1"/>
    </x:row>
    <x:row r="31" ht="21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  <x:c r="AA31" s="1"/>
      <x:c r="AB31" s="1"/>
    </x:row>
    <x:row r="32" ht="21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  <x:c r="AA32" s="1"/>
      <x:c r="AB32" s="1"/>
    </x:row>
    <x:row r="33" ht="21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  <x:c r="AA33" s="1"/>
      <x:c r="AB33" s="1"/>
    </x:row>
    <x:row r="34" ht="21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  <x:c r="AA34" s="1"/>
      <x:c r="AB34" s="1"/>
    </x:row>
    <x:row r="35" ht="21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  <x:c r="AA35" s="1"/>
      <x:c r="AB35" s="1"/>
    </x:row>
    <x:row r="36" ht="21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  <x:c r="AA36" s="1"/>
      <x:c r="AB36" s="1"/>
    </x:row>
    <x:row r="37" ht="21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  <x:c r="AA37" s="1"/>
      <x:c r="AB37" s="1"/>
    </x:row>
    <x:row r="38" ht="21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  <x:c r="AA38" s="1"/>
      <x:c r="AB38" s="1"/>
    </x:row>
    <x:row r="39" ht="21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  <x:c r="AA39" s="1"/>
      <x:c r="AB39" s="1"/>
    </x:row>
    <x:row r="40" ht="21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  <x:c r="AA40" s="1"/>
      <x:c r="AB40" s="1"/>
    </x:row>
    <x:row r="41" ht="21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  <x:c r="AA41" s="1"/>
      <x:c r="AB41" s="1"/>
    </x:row>
    <x:row r="42" ht="21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  <x:c r="AA42" s="1"/>
      <x:c r="AB42" s="1"/>
    </x:row>
    <x:row r="43" ht="21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  <x:c r="AA43" s="1"/>
      <x:c r="AB43" s="1"/>
    </x:row>
    <x:row r="44" ht="21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  <x:c r="AA44" s="1"/>
      <x:c r="AB44" s="1"/>
    </x:row>
    <x:row r="45" ht="21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  <x:c r="AA45" s="1"/>
      <x:c r="AB45" s="1"/>
    </x:row>
    <x:row r="46" ht="21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  <x:c r="AA46" s="1"/>
      <x:c r="AB46" s="1"/>
    </x:row>
    <x:row r="47" ht="21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  <x:c r="AA47" s="1"/>
      <x:c r="AB47" s="1"/>
    </x:row>
    <x:row r="48" ht="21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  <x:c r="AA48" s="1"/>
      <x:c r="AB48" s="1"/>
    </x:row>
    <x:row r="49" ht="21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  <x:c r="AA49" s="1"/>
      <x:c r="AB49" s="1"/>
    </x:row>
    <x:row r="50" ht="21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  <x:c r="AA50" s="1"/>
      <x:c r="AB50" s="1"/>
    </x:row>
    <x:row r="51" ht="21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  <x:c r="AA51" s="1"/>
      <x:c r="AB51" s="1"/>
    </x:row>
    <x:row r="52" ht="21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  <x:c r="AA52" s="1"/>
      <x:c r="AB52" s="1"/>
    </x:row>
    <x:row r="53" ht="21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  <x:c r="AA53" s="1"/>
      <x:c r="AB53" s="1"/>
    </x:row>
    <x:row r="54" ht="21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  <x:c r="AA54" s="1"/>
      <x:c r="AB54" s="1"/>
    </x:row>
    <x:row r="55" ht="21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  <x:c r="AA55" s="1"/>
      <x:c r="AB55" s="1"/>
    </x:row>
    <x:row r="56" ht="21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  <x:c r="AA56" s="1"/>
      <x:c r="AB56" s="1"/>
    </x:row>
    <x:row r="57" ht="46" customHeight="1">
      <x:c r="A57" s="4" t="str">
        <x:v>Distance (m)</x:v>
      </x:c>
      <x:c r="B57" s="4" t="str">
        <x:v>Throughput (Mbps)</x:v>
      </x:c>
      <x:c r="C57" s="4" t="str">
        <x:v>Goodput (Mbps)</x:v>
      </x:c>
      <x:c r="D57" s="4" t="str">
        <x:v>Delay (ms)</x:v>
      </x:c>
      <x:c r="E57" s="4" t="str">
        <x:v>Jitter (ms)</x:v>
      </x:c>
      <x:c r="F57" s="4" t="str">
        <x:v>Loss (%)</x:v>
      </x:c>
      <x:c r="G57" s="4" t="str">
        <x:v>Throughput SD</x:v>
      </x:c>
      <x:c r="H57" s="4" t="str">
        <x:v>Goodput SD</x:v>
      </x:c>
      <x:c r="I57" s="4" t="str">
        <x:v>Delay SD (ms)</x:v>
      </x:c>
      <x:c r="J57" s="4" t="str">
        <x:v>Jitter SD (ms)</x:v>
      </x:c>
      <x:c r="K57" s="4" t="str">
        <x:v>Loss SD (pp)</x:v>
      </x:c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  <x:c r="AA57" s="1"/>
      <x:c r="AB57" s="1"/>
    </x:row>
    <x:row r="58" ht="21" customHeight="1">
      <x:c r="A58" s="1" t="n">
        <x:v>25</x:v>
      </x:c>
      <x:c r="B58" s="6" t="n">
        <x:f>AVERAGE('Raw data'!R4,'Raw data'!R10,'Raw data'!R16,'Raw data'!R22,'Raw data'!R28)</x:f>
        <x:v>203.9995104</x:v>
      </x:c>
      <x:c r="C58" s="6" t="n">
        <x:f>AVERAGE('Raw data'!S4,'Raw data'!S10,'Raw data'!S16,'Raw data'!S22,'Raw data'!S28)</x:f>
        <x:v>199.99952</x:v>
      </x:c>
      <x:c r="D58" s="6" t="n">
        <x:f>AVERAGE('Raw data'!T4,'Raw data'!T10,'Raw data'!T16,'Raw data'!T22,'Raw data'!T28)</x:f>
        <x:v>3.6395192689999996</x:v>
      </x:c>
      <x:c r="E58" s="6" t="n">
        <x:f>AVERAGE('Raw data'!U4,'Raw data'!U10,'Raw data'!U16,'Raw data'!U22,'Raw data'!U28)</x:f>
        <x:v>0.10030478120000001</x:v>
      </x:c>
      <x:c r="F58" s="7" t="n">
        <x:f>AVERAGE('Raw data'!V4,'Raw data'!V10,'Raw data'!V16,'Raw data'!V22,'Raw data'!V28)*100</x:f>
        <x:v>0</x:v>
      </x:c>
      <x:c r="G58" s="6" t="n">
        <x:f>STDEV('Raw data'!R4,'Raw data'!R10,'Raw data'!R16,'Raw data'!R22,'Raw data'!R28)</x:f>
        <x:v>0</x:v>
      </x:c>
      <x:c r="H58" s="6" t="n">
        <x:f>STDEV('Raw data'!S4,'Raw data'!S10,'Raw data'!S16,'Raw data'!S22,'Raw data'!S28)</x:f>
        <x:v>0</x:v>
      </x:c>
      <x:c r="I58" s="6" t="n">
        <x:f>STDEV('Raw data'!T4,'Raw data'!T10,'Raw data'!T16,'Raw data'!T22,'Raw data'!T28)</x:f>
        <x:v>0.0038355344346483484</x:v>
      </x:c>
      <x:c r="J58" s="6" t="n">
        <x:f>STDEV('Raw data'!U4,'Raw data'!U10,'Raw data'!U16,'Raw data'!U22,'Raw data'!U28)</x:f>
        <x:v>0.000059366383397508525</x:v>
      </x:c>
      <x:c r="K58" s="6" t="n">
        <x:f>STDEV('Raw data'!V4,'Raw data'!V10,'Raw data'!V16,'Raw data'!V22,'Raw data'!V28)*100</x:f>
        <x:v>0</x:v>
      </x:c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  <x:c r="AA58" s="1"/>
      <x:c r="AB58" s="1"/>
    </x:row>
    <x:row r="59" ht="21" customHeight="1">
      <x:c r="A59" s="1" t="n">
        <x:v>50</x:v>
      </x:c>
      <x:c r="B59" s="6" t="n">
        <x:f>AVERAGE('Raw data'!R5,'Raw data'!R11,'Raw data'!R17,'Raw data'!R23,'Raw data'!R29)</x:f>
        <x:v>203.9995104</x:v>
      </x:c>
      <x:c r="C59" s="6" t="n">
        <x:f>AVERAGE('Raw data'!S5,'Raw data'!S11,'Raw data'!S17,'Raw data'!S23,'Raw data'!S29)</x:f>
        <x:v>199.99952</x:v>
      </x:c>
      <x:c r="D59" s="6" t="n">
        <x:f>AVERAGE('Raw data'!T5,'Raw data'!T11,'Raw data'!T17,'Raw data'!T23,'Raw data'!T29)</x:f>
        <x:v>3.6422031292</x:v>
      </x:c>
      <x:c r="E59" s="6" t="n">
        <x:f>AVERAGE('Raw data'!U5,'Raw data'!U11,'Raw data'!U17,'Raw data'!U23,'Raw data'!U29)</x:f>
        <x:v>0.10028827200000001</x:v>
      </x:c>
      <x:c r="F59" s="7" t="n">
        <x:f>AVERAGE('Raw data'!V5,'Raw data'!V11,'Raw data'!V17,'Raw data'!V23,'Raw data'!V29)*100</x:f>
        <x:v>0</x:v>
      </x:c>
      <x:c r="G59" s="6" t="n">
        <x:f>STDEV('Raw data'!R5,'Raw data'!R11,'Raw data'!R17,'Raw data'!R23,'Raw data'!R29)</x:f>
        <x:v>0</x:v>
      </x:c>
      <x:c r="H59" s="6" t="n">
        <x:f>STDEV('Raw data'!S5,'Raw data'!S11,'Raw data'!S17,'Raw data'!S23,'Raw data'!S29)</x:f>
        <x:v>0</x:v>
      </x:c>
      <x:c r="I59" s="6" t="n">
        <x:f>STDEV('Raw data'!T5,'Raw data'!T11,'Raw data'!T17,'Raw data'!T23,'Raw data'!T29)</x:f>
        <x:v>0.0063940773572415555</x:v>
      </x:c>
      <x:c r="J59" s="6" t="n">
        <x:f>STDEV('Raw data'!U5,'Raw data'!U11,'Raw data'!U17,'Raw data'!U23,'Raw data'!U29)</x:f>
        <x:v>0.00003185287928115505</x:v>
      </x:c>
      <x:c r="K59" s="6" t="n">
        <x:f>STDEV('Raw data'!V5,'Raw data'!V11,'Raw data'!V17,'Raw data'!V23,'Raw data'!V29)*100</x:f>
        <x:v>0</x:v>
      </x:c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  <x:c r="AA59" s="1"/>
      <x:c r="AB59" s="1"/>
    </x:row>
    <x:row r="60" ht="21" customHeight="1">
      <x:c r="A60" s="1" t="n">
        <x:v>100</x:v>
      </x:c>
      <x:c r="B60" s="6" t="n">
        <x:f>AVERAGE('Raw data'!R6,'Raw data'!R12,'Raw data'!R18,'Raw data'!R24,'Raw data'!R30)</x:f>
        <x:v>203.9995104</x:v>
      </x:c>
      <x:c r="C60" s="6" t="n">
        <x:f>AVERAGE('Raw data'!S6,'Raw data'!S12,'Raw data'!S18,'Raw data'!S24,'Raw data'!S30)</x:f>
        <x:v>199.99952</x:v>
      </x:c>
      <x:c r="D60" s="6" t="n">
        <x:f>AVERAGE('Raw data'!T6,'Raw data'!T12,'Raw data'!T18,'Raw data'!T24,'Raw data'!T30)</x:f>
        <x:v>3.6507803539999997</x:v>
      </x:c>
      <x:c r="E60" s="6" t="n">
        <x:f>AVERAGE('Raw data'!U6,'Raw data'!U12,'Raw data'!U18,'Raw data'!U24,'Raw data'!U30)</x:f>
        <x:v>0.0990438124</x:v>
      </x:c>
      <x:c r="F60" s="7" t="n">
        <x:f>AVERAGE('Raw data'!V6,'Raw data'!V12,'Raw data'!V18,'Raw data'!V24,'Raw data'!V30)*100</x:f>
        <x:v>0</x:v>
      </x:c>
      <x:c r="G60" s="6" t="n">
        <x:f>STDEV('Raw data'!R6,'Raw data'!R12,'Raw data'!R18,'Raw data'!R24,'Raw data'!R30)</x:f>
        <x:v>0</x:v>
      </x:c>
      <x:c r="H60" s="6" t="n">
        <x:f>STDEV('Raw data'!S6,'Raw data'!S12,'Raw data'!S18,'Raw data'!S24,'Raw data'!S30)</x:f>
        <x:v>0</x:v>
      </x:c>
      <x:c r="I60" s="6" t="n">
        <x:f>STDEV('Raw data'!T6,'Raw data'!T12,'Raw data'!T18,'Raw data'!T24,'Raw data'!T30)</x:f>
        <x:v>0.003964022385571858</x:v>
      </x:c>
      <x:c r="J60" s="6" t="n">
        <x:f>STDEV('Raw data'!U6,'Raw data'!U12,'Raw data'!U18,'Raw data'!U24,'Raw data'!U30)</x:f>
        <x:v>0.00004979712989520945</x:v>
      </x:c>
      <x:c r="K60" s="6" t="n">
        <x:f>STDEV('Raw data'!V6,'Raw data'!V12,'Raw data'!V18,'Raw data'!V24,'Raw data'!V30)*100</x:f>
        <x:v>0</x:v>
      </x:c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  <x:c r="AA60" s="1"/>
      <x:c r="AB60" s="1"/>
    </x:row>
    <x:row r="61" ht="21" customHeight="1">
      <x:c r="A61" s="1" t="n">
        <x:v>150</x:v>
      </x:c>
      <x:c r="B61" s="6" t="n">
        <x:f>AVERAGE('Raw data'!R7,'Raw data'!R13,'Raw data'!R19,'Raw data'!R25,'Raw data'!R31)</x:f>
        <x:v>175.14180096</x:v>
      </x:c>
      <x:c r="C61" s="6" t="n">
        <x:f>AVERAGE('Raw data'!S7,'Raw data'!S13,'Raw data'!S19,'Raw data'!S25,'Raw data'!S31)</x:f>
        <x:v>171.70764799999998</x:v>
      </x:c>
      <x:c r="D61" s="6" t="n">
        <x:f>AVERAGE('Raw data'!T7,'Raw data'!T13,'Raw data'!T19,'Raw data'!T25,'Raw data'!T31)</x:f>
        <x:v>104.51327073999998</x:v>
      </x:c>
      <x:c r="E61" s="6" t="n">
        <x:f>AVERAGE('Raw data'!U7,'Raw data'!U13,'Raw data'!U19,'Raw data'!U25,'Raw data'!U31)</x:f>
        <x:v>0.1246457148</x:v>
      </x:c>
      <x:c r="F61" s="7" t="n">
        <x:f>AVERAGE('Raw data'!V7,'Raw data'!V13,'Raw data'!V19,'Raw data'!V25,'Raw data'!V31)*100</x:f>
        <x:v>14.14596994</x:v>
      </x:c>
      <x:c r="G61" s="6" t="n">
        <x:f>STDEV('Raw data'!R7,'Raw data'!R13,'Raw data'!R19,'Raw data'!R25,'Raw data'!R31)</x:f>
        <x:v>0.3481477823106231</x:v>
      </x:c>
      <x:c r="H61" s="6" t="n">
        <x:f>STDEV('Raw data'!S7,'Raw data'!S13,'Raw data'!S19,'Raw data'!S25,'Raw data'!S31)</x:f>
        <x:v>0.34132135520649987</x:v>
      </x:c>
      <x:c r="I61" s="6" t="n">
        <x:f>STDEV('Raw data'!T7,'Raw data'!T13,'Raw data'!T19,'Raw data'!T25,'Raw data'!T31)</x:f>
        <x:v>4.4166329631907395</x:v>
      </x:c>
      <x:c r="J61" s="6" t="n">
        <x:f>STDEV('Raw data'!U7,'Raw data'!U13,'Raw data'!U19,'Raw data'!U25,'Raw data'!U31)</x:f>
        <x:v>0.0005149892189407413</x:v>
      </x:c>
      <x:c r="K61" s="6" t="n">
        <x:f>STDEV('Raw data'!V7,'Raw data'!V13,'Raw data'!V19,'Raw data'!V25,'Raw data'!V31)*100</x:f>
        <x:v>0.17066109317173844</x:v>
      </x:c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  <x:c r="AA61" s="1"/>
      <x:c r="AB61" s="1"/>
    </x:row>
    <x:row r="62" ht="21" customHeight="1">
      <x:c r="A62" s="1" t="n">
        <x:v>200</x:v>
      </x:c>
      <x:c r="B62" s="6" t="n">
        <x:f>AVERAGE('Raw data'!R8,'Raw data'!R14,'Raw data'!R20,'Raw data'!R26,'Raw data'!R32)</x:f>
        <x:v>134.9277216</x:v>
      </x:c>
      <x:c r="C62" s="6" t="n">
        <x:f>AVERAGE('Raw data'!S8,'Raw data'!S14,'Raw data'!S20,'Raw data'!S26,'Raw data'!S32)</x:f>
        <x:v>132.28208</x:v>
      </x:c>
      <x:c r="D62" s="6" t="n">
        <x:f>AVERAGE('Raw data'!T8,'Raw data'!T14,'Raw data'!T20,'Raw data'!T26,'Raw data'!T32)</x:f>
        <x:v>63.990537518</x:v>
      </x:c>
      <x:c r="E62" s="6" t="n">
        <x:f>AVERAGE('Raw data'!U8,'Raw data'!U14,'Raw data'!U20,'Raw data'!U26,'Raw data'!U32)</x:f>
        <x:v>0.1279685918</x:v>
      </x:c>
      <x:c r="F62" s="7" t="n">
        <x:f>AVERAGE('Raw data'!V8,'Raw data'!V14,'Raw data'!V20,'Raw data'!V26,'Raw data'!V32)*100</x:f>
        <x:v>33.8588013</x:v>
      </x:c>
      <x:c r="G62" s="6" t="n">
        <x:f>STDEV('Raw data'!R8,'Raw data'!R14,'Raw data'!R20,'Raw data'!R26,'Raw data'!R32)</x:f>
        <x:v>0</x:v>
      </x:c>
      <x:c r="H62" s="6" t="n">
        <x:f>STDEV('Raw data'!S8,'Raw data'!S14,'Raw data'!S20,'Raw data'!S26,'Raw data'!S32)</x:f>
        <x:v>0</x:v>
      </x:c>
      <x:c r="I62" s="6" t="n">
        <x:f>STDEV('Raw data'!T8,'Raw data'!T14,'Raw data'!T20,'Raw data'!T26,'Raw data'!T32)</x:f>
        <x:v>0.002569291640533761</x:v>
      </x:c>
      <x:c r="J62" s="6" t="n">
        <x:f>STDEV('Raw data'!U8,'Raw data'!U14,'Raw data'!U20,'Raw data'!U26,'Raw data'!U32)</x:f>
        <x:v>0.0001686824633807544</x:v>
      </x:c>
      <x:c r="K62" s="6" t="n">
        <x:f>STDEV('Raw data'!V8,'Raw data'!V14,'Raw data'!V20,'Raw data'!V26,'Raw data'!V32)*100</x:f>
        <x:v>0</x:v>
      </x:c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  <x:c r="AA62" s="1"/>
      <x:c r="AB62" s="1"/>
    </x:row>
    <x:row r="63" ht="21" customHeight="1">
      <x:c r="A63" s="1" t="n">
        <x:v>300</x:v>
      </x:c>
      <x:c r="B63" s="6" t="n">
        <x:f>AVERAGE('Raw data'!R9,'Raw data'!R15,'Raw data'!R21,'Raw data'!R27,'Raw data'!R33)</x:f>
        <x:v>94.602144</x:v>
      </x:c>
      <x:c r="C63" s="6" t="n">
        <x:f>AVERAGE('Raw data'!S9,'Raw data'!S15,'Raw data'!S21,'Raw data'!S27,'Raw data'!S33)</x:f>
        <x:v>92.7472</x:v>
      </x:c>
      <x:c r="D63" s="6" t="n">
        <x:f>AVERAGE('Raw data'!T9,'Raw data'!T15,'Raw data'!T21,'Raw data'!T27,'Raw data'!T33)</x:f>
        <x:v>90.770139736</x:v>
      </x:c>
      <x:c r="E63" s="6" t="n">
        <x:f>AVERAGE('Raw data'!U9,'Raw data'!U15,'Raw data'!U21,'Raw data'!U27,'Raw data'!U33)</x:f>
        <x:v>0.2158276436</x:v>
      </x:c>
      <x:c r="F63" s="7" t="n">
        <x:f>AVERAGE('Raw data'!V9,'Raw data'!V15,'Raw data'!V21,'Raw data'!V27,'Raw data'!V33)*100</x:f>
        <x:v>53.6262887</x:v>
      </x:c>
      <x:c r="G63" s="6" t="n">
        <x:f>STDEV('Raw data'!R9,'Raw data'!R15,'Raw data'!R21,'Raw data'!R27,'Raw data'!R33)</x:f>
        <x:v>0</x:v>
      </x:c>
      <x:c r="H63" s="6" t="n">
        <x:f>STDEV('Raw data'!S9,'Raw data'!S15,'Raw data'!S21,'Raw data'!S27,'Raw data'!S33)</x:f>
        <x:v>0</x:v>
      </x:c>
      <x:c r="I63" s="6" t="n">
        <x:f>STDEV('Raw data'!T9,'Raw data'!T15,'Raw data'!T21,'Raw data'!T27,'Raw data'!T33)</x:f>
        <x:v>0.001760476605816328</x:v>
      </x:c>
      <x:c r="J63" s="6" t="n">
        <x:f>STDEV('Raw data'!U9,'Raw data'!U15,'Raw data'!U21,'Raw data'!U27,'Raw data'!U33)</x:f>
        <x:v>0.0000622038763848361</x:v>
      </x:c>
      <x:c r="K63" s="6" t="n">
        <x:f>STDEV('Raw data'!V9,'Raw data'!V15,'Raw data'!V21,'Raw data'!V27,'Raw data'!V33)*100</x:f>
        <x:v>0</x:v>
      </x:c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  <x:c r="AA63" s="1"/>
      <x:c r="AB63" s="1"/>
    </x:row>
    <x:row r="64" ht="21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  <x:c r="AA64" s="1"/>
      <x:c r="AB64" s="1"/>
    </x:row>
    <x:row r="65" ht="21" customHeight="1">
      <x:c r="A65" s="1" t="str">
        <x:v>At 25, 50 and 100 m, the full 200 Mbps offered load is delivered.</x:v>
      </x:c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  <x:c r="AA65" s="1"/>
      <x:c r="AB65" s="1"/>
    </x:row>
    <x:row r="66" ht="21" customHeight="1">
      <x:c r="A66" s="1" t="str">
        <x:v>At 150–300 m, goodput decreases and packet loss increases with distance.</x:v>
      </x:c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  <x:c r="AA66" s="1"/>
      <x:c r="AB66" s="1"/>
    </x:row>
    <x:row r="67" ht="21" customHeight="1">
      <x:c r="A67" s="1" t="str">
        <x:v>Delay peaks at 150 m among tested distances. Delay and jitter include received packets only.</x:v>
      </x:c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  <x:c r="AA67" s="1"/>
      <x:c r="AB67" s="1"/>
    </x:row>
    <x:row r="68" ht="21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  <x:c r="AA68" s="1"/>
      <x:c r="AB68" s="1"/>
    </x:row>
    <x:row r="69" ht="21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  <x:c r="AA69" s="1"/>
      <x:c r="AB69" s="1"/>
    </x:row>
    <x:row r="70" ht="21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  <x:c r="AA70" s="1"/>
      <x:c r="AB70" s="1"/>
    </x:row>
    <x:row r="71" ht="21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  <x:c r="AA71" s="1"/>
      <x:c r="AB71" s="1"/>
    </x:row>
    <x:row r="72" ht="21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  <x:c r="AA72" s="1"/>
      <x:c r="AB72" s="1"/>
    </x:row>
    <x:row r="73" ht="21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  <x:c r="AA73" s="1"/>
      <x:c r="AB73" s="1"/>
    </x:row>
    <x:row r="74" ht="21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  <x:c r="AA74" s="1"/>
      <x:c r="AB74" s="1"/>
    </x:row>
    <x:row r="75" ht="21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  <x:c r="AA75" s="1"/>
      <x:c r="AB75" s="1"/>
    </x:row>
  </x:sheetData>
  <x:pageMargins left="0.7" right="0.7" top="0.75" bottom="0.75" header="0.3" footer="0.3"/>
  <x:drawing xmlns:r="http://schemas.openxmlformats.org/officeDocument/2006/relationships" r:id="R55e07c36e8b14178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3" hidden="0" customWidth="1"/>
    <x:col min="2" max="2" width="21" hidden="0" customWidth="1"/>
    <x:col min="3" max="3" width="21" hidden="0" customWidth="1"/>
    <x:col min="4" max="4" width="38" hidden="0" customWidth="1"/>
    <x:col min="5" max="5" width="38" hidden="0" customWidth="1"/>
    <x:col min="6" max="6" width="38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  <x:col min="13" max="13" width="21" hidden="0" customWidth="1"/>
    <x:col min="14" max="14" width="21" hidden="0" customWidth="1"/>
    <x:col min="15" max="15" width="21" hidden="0" customWidth="1"/>
    <x:col min="16" max="16" width="21" hidden="0" customWidth="1"/>
    <x:col min="17" max="17" width="21" hidden="0" customWidth="1"/>
    <x:col min="18" max="18" width="21" hidden="0" customWidth="1"/>
    <x:col min="19" max="19" width="21" hidden="0" customWidth="1"/>
    <x:col min="20" max="20" width="21" hidden="0" customWidth="1"/>
    <x:col min="21" max="21" width="21" hidden="0" customWidth="1"/>
    <x:col min="22" max="22" width="21" hidden="0" customWidth="1"/>
    <x:col min="23" max="23" width="21" hidden="0" customWidth="1"/>
    <x:col min="24" max="24" width="21" hidden="0" customWidth="1"/>
    <x:col min="25" max="25" width="21" hidden="0" customWidth="1"/>
    <x:col min="26" max="26" width="21" hidden="0" customWidth="1"/>
    <x:col min="27" max="27" width="21" hidden="0" customWidth="1"/>
    <x:col min="28" max="28" width="21" hidden="0" customWidth="1"/>
  </x:cols>
  <x:sheetData>
    <x:row r="1" ht="21" customHeight="1">
      <x:c r="A1" s="1" t="str">
        <x:v>Sources: n8n executions 64–68 (runs 1–5, drain 2 s); execution 70 (run 1, drain 5 s, validation only).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</x:row>
    <x:row r="2" ht="21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</x:row>
    <x:row r="3" ht="48" customHeight="1">
      <x:c r="A3" s="4" t="str">
        <x:v>experiment_id</x:v>
      </x:c>
      <x:c r="B3" s="4" t="str">
        <x:v>n8n_execution_id</x:v>
      </x:c>
      <x:c r="C3" s="4" t="str">
        <x:v>data_source</x:v>
      </x:c>
      <x:c r="D3" s="4" t="str">
        <x:v>config_path</x:v>
      </x:c>
      <x:c r="E3" s="4" t="str">
        <x:v>results_path</x:v>
      </x:c>
      <x:c r="F3" s="4" t="str">
        <x:v>experiment_dir</x:v>
      </x:c>
      <x:c r="G3" s="4" t="str">
        <x:v>ue_distance_2d_m</x:v>
      </x:c>
      <x:c r="H3" s="4" t="str">
        <x:v>ue_distance_3d_m</x:v>
      </x:c>
      <x:c r="I3" s="4" t="str">
        <x:v>ue_tx_power_dbm</x:v>
      </x:c>
      <x:c r="J3" s="4" t="str">
        <x:v>offered_load_mbps</x:v>
      </x:c>
      <x:c r="K3" s="4" t="str">
        <x:v>bandwidth_hz</x:v>
      </x:c>
      <x:c r="L3" s="4" t="str">
        <x:v>numerology</x:v>
      </x:c>
      <x:c r="M3" s="4" t="str">
        <x:v>tdd_pattern</x:v>
      </x:c>
      <x:c r="N3" s="4" t="str">
        <x:v>packet_size_bytes</x:v>
      </x:c>
      <x:c r="O3" s="4" t="str">
        <x:v>rlc_buffer_size_bytes</x:v>
      </x:c>
      <x:c r="P3" s="4" t="str">
        <x:v>rng_seed</x:v>
      </x:c>
      <x:c r="Q3" s="4" t="str">
        <x:v>rng_run</x:v>
      </x:c>
      <x:c r="R3" s="4" t="str">
        <x:v>throughput_mbps</x:v>
      </x:c>
      <x:c r="S3" s="4" t="str">
        <x:v>app_goodput_mbps</x:v>
      </x:c>
      <x:c r="T3" s="4" t="str">
        <x:v>end_to_end_delay_ms</x:v>
      </x:c>
      <x:c r="U3" s="4" t="str">
        <x:v>jitter_ms</x:v>
      </x:c>
      <x:c r="V3" s="4" t="str">
        <x:v>loss_fraction</x:v>
      </x:c>
      <x:c r="W3" s="4" t="str">
        <x:v>tx_packets</x:v>
      </x:c>
      <x:c r="X3" s="4" t="str">
        <x:v>rx_packets</x:v>
      </x:c>
      <x:c r="Y3" s="4" t="str">
        <x:v>ip_rx_bytes</x:v>
      </x:c>
      <x:c r="Z3" s="4" t="str">
        <x:v>unreceived_packets_after_drain</x:v>
      </x:c>
      <x:c r="AA3" s="4" t="str">
        <x:v>source_execution</x:v>
      </x:c>
      <x:c r="AB3" s="4" t="str">
        <x:v>drain_time_s</x:v>
      </x:c>
    </x:row>
    <x:row r="4" ht="21" customHeight="1">
      <x:c r="A4" s="1" t="str">
        <x:v>distance_25m_run_1</x:v>
      </x:c>
      <x:c r="B4" s="1" t="n">
        <x:v>64</x:v>
      </x:c>
      <x:c r="C4" s="1" t="str">
        <x:v>ns3</x:v>
      </x:c>
      <x:c r="D4" s="1" t="str">
        <x:v>experiments/execution_64/experiment_1/config.json</x:v>
      </x:c>
      <x:c r="E4" s="1" t="str">
        <x:v>experiments/execution_64/experiment_1/results.json</x:v>
      </x:c>
      <x:c r="F4" s="1" t="str">
        <x:v>/home/dinos/ns-allinone-3.47/ns-3.47/experiments/execution_64/experiment_1</x:v>
      </x:c>
      <x:c r="G4" s="1" t="n">
        <x:v>25</x:v>
      </x:c>
      <x:c r="H4" s="1" t="n">
        <x:v>26.40549185</x:v>
      </x:c>
      <x:c r="I4" s="1" t="n">
        <x:v>10</x:v>
      </x:c>
      <x:c r="J4" s="1" t="n">
        <x:v>200</x:v>
      </x:c>
      <x:c r="K4" s="1" t="n">
        <x:v>100000000</x:v>
      </x:c>
      <x:c r="L4" s="1" t="n">
        <x:v>2</x:v>
      </x:c>
      <x:c r="M4" s="1" t="str">
        <x:v>DL|UL|UL|UL|</x:v>
      </x:c>
      <x:c r="N4" s="1" t="n">
        <x:v>1400</x:v>
      </x:c>
      <x:c r="O4" s="1" t="n">
        <x:v>1048576</x:v>
      </x:c>
      <x:c r="P4" s="1" t="n">
        <x:v>42</x:v>
      </x:c>
      <x:c r="Q4" s="1" t="n">
        <x:v>1</x:v>
      </x:c>
      <x:c r="R4" s="1" t="n">
        <x:v>203.9995104</x:v>
      </x:c>
      <x:c r="S4" s="1" t="n">
        <x:v>199.99952</x:v>
      </x:c>
      <x:c r="T4" s="1" t="n">
        <x:v>3.638612242</x:v>
      </x:c>
      <x:c r="U4" s="1" t="n">
        <x:v>0.100296678</x:v>
      </x:c>
      <x:c r="V4" s="1" t="n">
        <x:v>0</x:v>
      </x:c>
      <x:c r="W4" s="1" t="n">
        <x:v>178571</x:v>
      </x:c>
      <x:c r="X4" s="1" t="n">
        <x:v>178571</x:v>
      </x:c>
      <x:c r="Y4" s="1" t="n">
        <x:v>254999388</x:v>
      </x:c>
      <x:c r="Z4" s="1" t="n">
        <x:v>0</x:v>
      </x:c>
      <x:c r="AA4" s="1" t="n">
        <x:v>64</x:v>
      </x:c>
      <x:c r="AB4" s="1" t="n">
        <x:v>2</x:v>
      </x:c>
    </x:row>
    <x:row r="5" ht="21" customHeight="1">
      <x:c r="A5" s="1" t="str">
        <x:v>distance_50m_run_1</x:v>
      </x:c>
      <x:c r="B5" s="1" t="n">
        <x:v>64</x:v>
      </x:c>
      <x:c r="C5" s="1" t="str">
        <x:v>ns3</x:v>
      </x:c>
      <x:c r="D5" s="1" t="str">
        <x:v>experiments/execution_64/experiment_2/config.json</x:v>
      </x:c>
      <x:c r="E5" s="1" t="str">
        <x:v>experiments/execution_64/experiment_2/results.json</x:v>
      </x:c>
      <x:c r="F5" s="1" t="str">
        <x:v>/home/dinos/ns-allinone-3.47/ns-3.47/experiments/execution_64/experiment_2</x:v>
      </x:c>
      <x:c r="G5" s="1" t="n">
        <x:v>50</x:v>
      </x:c>
      <x:c r="H5" s="1" t="n">
        <x:v>50.71735403</x:v>
      </x:c>
      <x:c r="I5" s="1" t="n">
        <x:v>10</x:v>
      </x:c>
      <x:c r="J5" s="1" t="n">
        <x:v>200</x:v>
      </x:c>
      <x:c r="K5" s="1" t="n">
        <x:v>100000000</x:v>
      </x:c>
      <x:c r="L5" s="1" t="n">
        <x:v>2</x:v>
      </x:c>
      <x:c r="M5" s="1" t="str">
        <x:v>DL|UL|UL|UL|</x:v>
      </x:c>
      <x:c r="N5" s="1" t="n">
        <x:v>1400</x:v>
      </x:c>
      <x:c r="O5" s="1" t="n">
        <x:v>1048576</x:v>
      </x:c>
      <x:c r="P5" s="1" t="n">
        <x:v>42</x:v>
      </x:c>
      <x:c r="Q5" s="1" t="n">
        <x:v>1</x:v>
      </x:c>
      <x:c r="R5" s="1" t="n">
        <x:v>203.9995104</x:v>
      </x:c>
      <x:c r="S5" s="1" t="n">
        <x:v>199.99952</x:v>
      </x:c>
      <x:c r="T5" s="1" t="n">
        <x:v>3.637938599</x:v>
      </x:c>
      <x:c r="U5" s="1" t="n">
        <x:v>0.10026554</x:v>
      </x:c>
      <x:c r="V5" s="1" t="n">
        <x:v>0</x:v>
      </x:c>
      <x:c r="W5" s="1" t="n">
        <x:v>178571</x:v>
      </x:c>
      <x:c r="X5" s="1" t="n">
        <x:v>178571</x:v>
      </x:c>
      <x:c r="Y5" s="1" t="n">
        <x:v>254999388</x:v>
      </x:c>
      <x:c r="Z5" s="1" t="n">
        <x:v>0</x:v>
      </x:c>
      <x:c r="AA5" s="1" t="n">
        <x:v>64</x:v>
      </x:c>
      <x:c r="AB5" s="1" t="n">
        <x:v>2</x:v>
      </x:c>
    </x:row>
    <x:row r="6" ht="21" customHeight="1">
      <x:c r="A6" s="1" t="str">
        <x:v>distance_100m_run_1</x:v>
      </x:c>
      <x:c r="B6" s="1" t="n">
        <x:v>64</x:v>
      </x:c>
      <x:c r="C6" s="1" t="str">
        <x:v>ns3</x:v>
      </x:c>
      <x:c r="D6" s="1" t="str">
        <x:v>experiments/execution_64/experiment_3/config.json</x:v>
      </x:c>
      <x:c r="E6" s="1" t="str">
        <x:v>experiments/execution_64/experiment_3/results.json</x:v>
      </x:c>
      <x:c r="F6" s="1" t="str">
        <x:v>/home/dinos/ns-allinone-3.47/ns-3.47/experiments/execution_64/experiment_3</x:v>
      </x:c>
      <x:c r="G6" s="1" t="n">
        <x:v>100</x:v>
      </x:c>
      <x:c r="H6" s="1" t="n">
        <x:v>100.3605998</x:v>
      </x:c>
      <x:c r="I6" s="1" t="n">
        <x:v>10</x:v>
      </x:c>
      <x:c r="J6" s="1" t="n">
        <x:v>200</x:v>
      </x:c>
      <x:c r="K6" s="1" t="n">
        <x:v>100000000</x:v>
      </x:c>
      <x:c r="L6" s="1" t="n">
        <x:v>2</x:v>
      </x:c>
      <x:c r="M6" s="1" t="str">
        <x:v>DL|UL|UL|UL|</x:v>
      </x:c>
      <x:c r="N6" s="1" t="n">
        <x:v>1400</x:v>
      </x:c>
      <x:c r="O6" s="1" t="n">
        <x:v>1048576</x:v>
      </x:c>
      <x:c r="P6" s="1" t="n">
        <x:v>42</x:v>
      </x:c>
      <x:c r="Q6" s="1" t="n">
        <x:v>1</x:v>
      </x:c>
      <x:c r="R6" s="1" t="n">
        <x:v>203.9995104</x:v>
      </x:c>
      <x:c r="S6" s="1" t="n">
        <x:v>199.99952</x:v>
      </x:c>
      <x:c r="T6" s="1" t="n">
        <x:v>3.653616326</x:v>
      </x:c>
      <x:c r="U6" s="1" t="n">
        <x:v>0.099031597</x:v>
      </x:c>
      <x:c r="V6" s="1" t="n">
        <x:v>0</x:v>
      </x:c>
      <x:c r="W6" s="1" t="n">
        <x:v>178571</x:v>
      </x:c>
      <x:c r="X6" s="1" t="n">
        <x:v>178571</x:v>
      </x:c>
      <x:c r="Y6" s="1" t="n">
        <x:v>254999388</x:v>
      </x:c>
      <x:c r="Z6" s="1" t="n">
        <x:v>0</x:v>
      </x:c>
      <x:c r="AA6" s="1" t="n">
        <x:v>64</x:v>
      </x:c>
      <x:c r="AB6" s="1" t="n">
        <x:v>2</x:v>
      </x:c>
    </x:row>
    <x:row r="7" ht="21" customHeight="1">
      <x:c r="A7" s="1" t="str">
        <x:v>distance_150m_run_1</x:v>
      </x:c>
      <x:c r="B7" s="1" t="n">
        <x:v>64</x:v>
      </x:c>
      <x:c r="C7" s="1" t="str">
        <x:v>ns3</x:v>
      </x:c>
      <x:c r="D7" s="1" t="str">
        <x:v>experiments/execution_64/experiment_4/config.json</x:v>
      </x:c>
      <x:c r="E7" s="1" t="str">
        <x:v>experiments/execution_64/experiment_4/results.json</x:v>
      </x:c>
      <x:c r="F7" s="1" t="str">
        <x:v>/home/dinos/ns-allinone-3.47/ns-3.47/experiments/execution_64/experiment_4</x:v>
      </x:c>
      <x:c r="G7" s="1" t="n">
        <x:v>150</x:v>
      </x:c>
      <x:c r="H7" s="1" t="n">
        <x:v>150.2406403</x:v>
      </x:c>
      <x:c r="I7" s="1" t="n">
        <x:v>10</x:v>
      </x:c>
      <x:c r="J7" s="1" t="n">
        <x:v>200</x:v>
      </x:c>
      <x:c r="K7" s="1" t="n">
        <x:v>100000000</x:v>
      </x:c>
      <x:c r="L7" s="1" t="n">
        <x:v>2</x:v>
      </x:c>
      <x:c r="M7" s="1" t="str">
        <x:v>DL|UL|UL|UL|</x:v>
      </x:c>
      <x:c r="N7" s="1" t="n">
        <x:v>1400</x:v>
      </x:c>
      <x:c r="O7" s="1" t="n">
        <x:v>1048576</x:v>
      </x:c>
      <x:c r="P7" s="1" t="n">
        <x:v>42</x:v>
      </x:c>
      <x:c r="Q7" s="1" t="n">
        <x:v>1</x:v>
      </x:c>
      <x:c r="R7" s="1" t="n">
        <x:v>175.1116416</x:v>
      </x:c>
      <x:c r="S7" s="1" t="n">
        <x:v>171.67808</x:v>
      </x:c>
      <x:c r="T7" s="1" t="n">
        <x:v>102.5910495</x:v>
      </x:c>
      <x:c r="U7" s="1" t="n">
        <x:v>0.124214456</x:v>
      </x:c>
      <x:c r="V7" s="1" t="n">
        <x:v>0.14160754</x:v>
      </x:c>
      <x:c r="W7" s="1" t="n">
        <x:v>178571</x:v>
      </x:c>
      <x:c r="X7" s="1" t="n">
        <x:v>153284</x:v>
      </x:c>
      <x:c r="Y7" s="1" t="n">
        <x:v>218889552</x:v>
      </x:c>
      <x:c r="Z7" s="1" t="n">
        <x:v>25287</x:v>
      </x:c>
      <x:c r="AA7" s="1" t="n">
        <x:v>64</x:v>
      </x:c>
      <x:c r="AB7" s="1" t="n">
        <x:v>2</x:v>
      </x:c>
    </x:row>
    <x:row r="8" ht="21" customHeight="1">
      <x:c r="A8" s="1" t="str">
        <x:v>distance_200m_run_1</x:v>
      </x:c>
      <x:c r="B8" s="1" t="n">
        <x:v>64</x:v>
      </x:c>
      <x:c r="C8" s="1" t="str">
        <x:v>ns3</x:v>
      </x:c>
      <x:c r="D8" s="1" t="str">
        <x:v>experiments/execution_64/experiment_5/config.json</x:v>
      </x:c>
      <x:c r="E8" s="1" t="str">
        <x:v>experiments/execution_64/experiment_5/results.json</x:v>
      </x:c>
      <x:c r="F8" s="1" t="str">
        <x:v>/home/dinos/ns-allinone-3.47/ns-3.47/experiments/execution_64/experiment_5</x:v>
      </x:c>
      <x:c r="G8" s="1" t="n">
        <x:v>200</x:v>
      </x:c>
      <x:c r="H8" s="1" t="n">
        <x:v>200.1805435</x:v>
      </x:c>
      <x:c r="I8" s="1" t="n">
        <x:v>10</x:v>
      </x:c>
      <x:c r="J8" s="1" t="n">
        <x:v>200</x:v>
      </x:c>
      <x:c r="K8" s="1" t="n">
        <x:v>100000000</x:v>
      </x:c>
      <x:c r="L8" s="1" t="n">
        <x:v>2</x:v>
      </x:c>
      <x:c r="M8" s="1" t="str">
        <x:v>DL|UL|UL|UL|</x:v>
      </x:c>
      <x:c r="N8" s="1" t="n">
        <x:v>1400</x:v>
      </x:c>
      <x:c r="O8" s="1" t="n">
        <x:v>1048576</x:v>
      </x:c>
      <x:c r="P8" s="1" t="n">
        <x:v>42</x:v>
      </x:c>
      <x:c r="Q8" s="1" t="n">
        <x:v>1</x:v>
      </x:c>
      <x:c r="R8" s="1" t="n">
        <x:v>134.9277216</x:v>
      </x:c>
      <x:c r="S8" s="1" t="n">
        <x:v>132.28208</x:v>
      </x:c>
      <x:c r="T8" s="1" t="n">
        <x:v>63.99039767</x:v>
      </x:c>
      <x:c r="U8" s="1" t="n">
        <x:v>0.127920602</x:v>
      </x:c>
      <x:c r="V8" s="1" t="n">
        <x:v>0.338588013</x:v>
      </x:c>
      <x:c r="W8" s="1" t="n">
        <x:v>178571</x:v>
      </x:c>
      <x:c r="X8" s="1" t="n">
        <x:v>118109</x:v>
      </x:c>
      <x:c r="Y8" s="1" t="n">
        <x:v>168659652</x:v>
      </x:c>
      <x:c r="Z8" s="1" t="n">
        <x:v>60462</x:v>
      </x:c>
      <x:c r="AA8" s="1" t="n">
        <x:v>64</x:v>
      </x:c>
      <x:c r="AB8" s="1" t="n">
        <x:v>2</x:v>
      </x:c>
    </x:row>
    <x:row r="9" ht="21" customHeight="1">
      <x:c r="A9" s="1" t="str">
        <x:v>distance_300m_run_1</x:v>
      </x:c>
      <x:c r="B9" s="1" t="n">
        <x:v>64</x:v>
      </x:c>
      <x:c r="C9" s="1" t="str">
        <x:v>ns3</x:v>
      </x:c>
      <x:c r="D9" s="1" t="str">
        <x:v>experiments/execution_64/experiment_6/config.json</x:v>
      </x:c>
      <x:c r="E9" s="1" t="str">
        <x:v>experiments/execution_64/experiment_6/results.json</x:v>
      </x:c>
      <x:c r="F9" s="1" t="str">
        <x:v>/home/dinos/ns-allinone-3.47/ns-3.47/experiments/execution_64/experiment_6</x:v>
      </x:c>
      <x:c r="G9" s="1" t="n">
        <x:v>300</x:v>
      </x:c>
      <x:c r="H9" s="1" t="n">
        <x:v>300.1203925</x:v>
      </x:c>
      <x:c r="I9" s="1" t="n">
        <x:v>10</x:v>
      </x:c>
      <x:c r="J9" s="1" t="n">
        <x:v>200</x:v>
      </x:c>
      <x:c r="K9" s="1" t="n">
        <x:v>100000000</x:v>
      </x:c>
      <x:c r="L9" s="1" t="n">
        <x:v>2</x:v>
      </x:c>
      <x:c r="M9" s="1" t="str">
        <x:v>DL|UL|UL|UL|</x:v>
      </x:c>
      <x:c r="N9" s="1" t="n">
        <x:v>1400</x:v>
      </x:c>
      <x:c r="O9" s="1" t="n">
        <x:v>1048576</x:v>
      </x:c>
      <x:c r="P9" s="1" t="n">
        <x:v>42</x:v>
      </x:c>
      <x:c r="Q9" s="1" t="n">
        <x:v>1</x:v>
      </x:c>
      <x:c r="R9" s="1" t="n">
        <x:v>94.602144</x:v>
      </x:c>
      <x:c r="S9" s="1" t="n">
        <x:v>92.7472</x:v>
      </x:c>
      <x:c r="T9" s="1" t="n">
        <x:v>90.77181564</x:v>
      </x:c>
      <x:c r="U9" s="1" t="n">
        <x:v>0.215930952</x:v>
      </x:c>
      <x:c r="V9" s="1" t="n">
        <x:v>0.536262887</x:v>
      </x:c>
      <x:c r="W9" s="1" t="n">
        <x:v>178571</x:v>
      </x:c>
      <x:c r="X9" s="1" t="n">
        <x:v>82810</x:v>
      </x:c>
      <x:c r="Y9" s="1" t="n">
        <x:v>118252680</x:v>
      </x:c>
      <x:c r="Z9" s="1" t="n">
        <x:v>95761</x:v>
      </x:c>
      <x:c r="AA9" s="1" t="n">
        <x:v>64</x:v>
      </x:c>
      <x:c r="AB9" s="1" t="n">
        <x:v>2</x:v>
      </x:c>
    </x:row>
    <x:row r="10" ht="21" customHeight="1">
      <x:c r="A10" s="1" t="str">
        <x:v>distance_25m_run_2</x:v>
      </x:c>
      <x:c r="B10" s="1" t="n">
        <x:v>65</x:v>
      </x:c>
      <x:c r="C10" s="1" t="str">
        <x:v>ns3</x:v>
      </x:c>
      <x:c r="D10" s="1" t="str">
        <x:v>experiments/execution_65/experiment_1/config.json</x:v>
      </x:c>
      <x:c r="E10" s="1" t="str">
        <x:v>experiments/execution_65/experiment_1/results.json</x:v>
      </x:c>
      <x:c r="F10" s="1" t="str">
        <x:v>/home/dinos/ns-allinone-3.47/ns-3.47/experiments/execution_65/experiment_1</x:v>
      </x:c>
      <x:c r="G10" s="1" t="n">
        <x:v>25</x:v>
      </x:c>
      <x:c r="H10" s="1" t="n">
        <x:v>26.40549185</x:v>
      </x:c>
      <x:c r="I10" s="1" t="n">
        <x:v>10</x:v>
      </x:c>
      <x:c r="J10" s="1" t="n">
        <x:v>200</x:v>
      </x:c>
      <x:c r="K10" s="1" t="n">
        <x:v>100000000</x:v>
      </x:c>
      <x:c r="L10" s="1" t="n">
        <x:v>2</x:v>
      </x:c>
      <x:c r="M10" s="1" t="str">
        <x:v>DL|UL|UL|UL|</x:v>
      </x:c>
      <x:c r="N10" s="1" t="n">
        <x:v>1400</x:v>
      </x:c>
      <x:c r="O10" s="1" t="n">
        <x:v>1048576</x:v>
      </x:c>
      <x:c r="P10" s="1" t="n">
        <x:v>42</x:v>
      </x:c>
      <x:c r="Q10" s="1" t="n">
        <x:v>2</x:v>
      </x:c>
      <x:c r="R10" s="1" t="n">
        <x:v>203.9995104</x:v>
      </x:c>
      <x:c r="S10" s="1" t="n">
        <x:v>199.99952</x:v>
      </x:c>
      <x:c r="T10" s="1" t="n">
        <x:v>3.635139754</x:v>
      </x:c>
      <x:c r="U10" s="1" t="n">
        <x:v>0.100285989</x:v>
      </x:c>
      <x:c r="V10" s="1" t="n">
        <x:v>0</x:v>
      </x:c>
      <x:c r="W10" s="1" t="n">
        <x:v>178571</x:v>
      </x:c>
      <x:c r="X10" s="1" t="n">
        <x:v>178571</x:v>
      </x:c>
      <x:c r="Y10" s="1" t="n">
        <x:v>254999388</x:v>
      </x:c>
      <x:c r="Z10" s="1" t="n">
        <x:v>0</x:v>
      </x:c>
      <x:c r="AA10" s="1" t="n">
        <x:v>65</x:v>
      </x:c>
      <x:c r="AB10" s="1" t="n">
        <x:v>2</x:v>
      </x:c>
    </x:row>
    <x:row r="11" ht="21" customHeight="1">
      <x:c r="A11" s="1" t="str">
        <x:v>distance_50m_run_2</x:v>
      </x:c>
      <x:c r="B11" s="1" t="n">
        <x:v>65</x:v>
      </x:c>
      <x:c r="C11" s="1" t="str">
        <x:v>ns3</x:v>
      </x:c>
      <x:c r="D11" s="1" t="str">
        <x:v>experiments/execution_65/experiment_2/config.json</x:v>
      </x:c>
      <x:c r="E11" s="1" t="str">
        <x:v>experiments/execution_65/experiment_2/results.json</x:v>
      </x:c>
      <x:c r="F11" s="1" t="str">
        <x:v>/home/dinos/ns-allinone-3.47/ns-3.47/experiments/execution_65/experiment_2</x:v>
      </x:c>
      <x:c r="G11" s="1" t="n">
        <x:v>50</x:v>
      </x:c>
      <x:c r="H11" s="1" t="n">
        <x:v>50.71735403</x:v>
      </x:c>
      <x:c r="I11" s="1" t="n">
        <x:v>10</x:v>
      </x:c>
      <x:c r="J11" s="1" t="n">
        <x:v>200</x:v>
      </x:c>
      <x:c r="K11" s="1" t="n">
        <x:v>100000000</x:v>
      </x:c>
      <x:c r="L11" s="1" t="n">
        <x:v>2</x:v>
      </x:c>
      <x:c r="M11" s="1" t="str">
        <x:v>DL|UL|UL|UL|</x:v>
      </x:c>
      <x:c r="N11" s="1" t="n">
        <x:v>1400</x:v>
      </x:c>
      <x:c r="O11" s="1" t="n">
        <x:v>1048576</x:v>
      </x:c>
      <x:c r="P11" s="1" t="n">
        <x:v>42</x:v>
      </x:c>
      <x:c r="Q11" s="1" t="n">
        <x:v>2</x:v>
      </x:c>
      <x:c r="R11" s="1" t="n">
        <x:v>203.9995104</x:v>
      </x:c>
      <x:c r="S11" s="1" t="n">
        <x:v>199.99952</x:v>
      </x:c>
      <x:c r="T11" s="1" t="n">
        <x:v>3.641319532</x:v>
      </x:c>
      <x:c r="U11" s="1" t="n">
        <x:v>0.100258574</x:v>
      </x:c>
      <x:c r="V11" s="1" t="n">
        <x:v>0</x:v>
      </x:c>
      <x:c r="W11" s="1" t="n">
        <x:v>178571</x:v>
      </x:c>
      <x:c r="X11" s="1" t="n">
        <x:v>178571</x:v>
      </x:c>
      <x:c r="Y11" s="1" t="n">
        <x:v>254999388</x:v>
      </x:c>
      <x:c r="Z11" s="1" t="n">
        <x:v>0</x:v>
      </x:c>
      <x:c r="AA11" s="1" t="n">
        <x:v>65</x:v>
      </x:c>
      <x:c r="AB11" s="1" t="n">
        <x:v>2</x:v>
      </x:c>
    </x:row>
    <x:row r="12" ht="21" customHeight="1">
      <x:c r="A12" s="1" t="str">
        <x:v>distance_100m_run_2</x:v>
      </x:c>
      <x:c r="B12" s="1" t="n">
        <x:v>65</x:v>
      </x:c>
      <x:c r="C12" s="1" t="str">
        <x:v>ns3</x:v>
      </x:c>
      <x:c r="D12" s="1" t="str">
        <x:v>experiments/execution_65/experiment_3/config.json</x:v>
      </x:c>
      <x:c r="E12" s="1" t="str">
        <x:v>experiments/execution_65/experiment_3/results.json</x:v>
      </x:c>
      <x:c r="F12" s="1" t="str">
        <x:v>/home/dinos/ns-allinone-3.47/ns-3.47/experiments/execution_65/experiment_3</x:v>
      </x:c>
      <x:c r="G12" s="1" t="n">
        <x:v>100</x:v>
      </x:c>
      <x:c r="H12" s="1" t="n">
        <x:v>100.3605998</x:v>
      </x:c>
      <x:c r="I12" s="1" t="n">
        <x:v>10</x:v>
      </x:c>
      <x:c r="J12" s="1" t="n">
        <x:v>200</x:v>
      </x:c>
      <x:c r="K12" s="1" t="n">
        <x:v>100000000</x:v>
      </x:c>
      <x:c r="L12" s="1" t="n">
        <x:v>2</x:v>
      </x:c>
      <x:c r="M12" s="1" t="str">
        <x:v>DL|UL|UL|UL|</x:v>
      </x:c>
      <x:c r="N12" s="1" t="n">
        <x:v>1400</x:v>
      </x:c>
      <x:c r="O12" s="1" t="n">
        <x:v>1048576</x:v>
      </x:c>
      <x:c r="P12" s="1" t="n">
        <x:v>42</x:v>
      </x:c>
      <x:c r="Q12" s="1" t="n">
        <x:v>2</x:v>
      </x:c>
      <x:c r="R12" s="1" t="n">
        <x:v>203.9995104</x:v>
      </x:c>
      <x:c r="S12" s="1" t="n">
        <x:v>199.99952</x:v>
      </x:c>
      <x:c r="T12" s="1" t="n">
        <x:v>3.651378574</x:v>
      </x:c>
      <x:c r="U12" s="1" t="n">
        <x:v>0.099051227</x:v>
      </x:c>
      <x:c r="V12" s="1" t="n">
        <x:v>0</x:v>
      </x:c>
      <x:c r="W12" s="1" t="n">
        <x:v>178571</x:v>
      </x:c>
      <x:c r="X12" s="1" t="n">
        <x:v>178571</x:v>
      </x:c>
      <x:c r="Y12" s="1" t="n">
        <x:v>254999388</x:v>
      </x:c>
      <x:c r="Z12" s="1" t="n">
        <x:v>0</x:v>
      </x:c>
      <x:c r="AA12" s="1" t="n">
        <x:v>65</x:v>
      </x:c>
      <x:c r="AB12" s="1" t="n">
        <x:v>2</x:v>
      </x:c>
    </x:row>
    <x:row r="13" ht="21" customHeight="1">
      <x:c r="A13" s="1" t="str">
        <x:v>distance_150m_run_2</x:v>
      </x:c>
      <x:c r="B13" s="1" t="n">
        <x:v>65</x:v>
      </x:c>
      <x:c r="C13" s="1" t="str">
        <x:v>ns3</x:v>
      </x:c>
      <x:c r="D13" s="1" t="str">
        <x:v>experiments/execution_65/experiment_4/config.json</x:v>
      </x:c>
      <x:c r="E13" s="1" t="str">
        <x:v>experiments/execution_65/experiment_4/results.json</x:v>
      </x:c>
      <x:c r="F13" s="1" t="str">
        <x:v>/home/dinos/ns-allinone-3.47/ns-3.47/experiments/execution_65/experiment_4</x:v>
      </x:c>
      <x:c r="G13" s="1" t="n">
        <x:v>150</x:v>
      </x:c>
      <x:c r="H13" s="1" t="n">
        <x:v>150.2406403</x:v>
      </x:c>
      <x:c r="I13" s="1" t="n">
        <x:v>10</x:v>
      </x:c>
      <x:c r="J13" s="1" t="n">
        <x:v>200</x:v>
      </x:c>
      <x:c r="K13" s="1" t="n">
        <x:v>100000000</x:v>
      </x:c>
      <x:c r="L13" s="1" t="n">
        <x:v>2</x:v>
      </x:c>
      <x:c r="M13" s="1" t="str">
        <x:v>DL|UL|UL|UL|</x:v>
      </x:c>
      <x:c r="N13" s="1" t="n">
        <x:v>1400</x:v>
      </x:c>
      <x:c r="O13" s="1" t="n">
        <x:v>1048576</x:v>
      </x:c>
      <x:c r="P13" s="1" t="n">
        <x:v>42</x:v>
      </x:c>
      <x:c r="Q13" s="1" t="n">
        <x:v>2</x:v>
      </x:c>
      <x:c r="R13" s="1" t="n">
        <x:v>175.5160512</x:v>
      </x:c>
      <x:c r="S13" s="1" t="n">
        <x:v>172.07456</x:v>
      </x:c>
      <x:c r="T13" s="1" t="n">
        <x:v>107.3700226</x:v>
      </x:c>
      <x:c r="U13" s="1" t="n">
        <x:v>0.12457051</x:v>
      </x:c>
      <x:c r="V13" s="1" t="n">
        <x:v>0.139625135</x:v>
      </x:c>
      <x:c r="W13" s="1" t="n">
        <x:v>178571</x:v>
      </x:c>
      <x:c r="X13" s="1" t="n">
        <x:v>153638</x:v>
      </x:c>
      <x:c r="Y13" s="1" t="n">
        <x:v>219395064</x:v>
      </x:c>
      <x:c r="Z13" s="1" t="n">
        <x:v>24933</x:v>
      </x:c>
      <x:c r="AA13" s="1" t="n">
        <x:v>65</x:v>
      </x:c>
      <x:c r="AB13" s="1" t="n">
        <x:v>2</x:v>
      </x:c>
    </x:row>
    <x:row r="14" ht="21" customHeight="1">
      <x:c r="A14" s="1" t="str">
        <x:v>distance_200m_run_2</x:v>
      </x:c>
      <x:c r="B14" s="1" t="n">
        <x:v>65</x:v>
      </x:c>
      <x:c r="C14" s="1" t="str">
        <x:v>ns3</x:v>
      </x:c>
      <x:c r="D14" s="1" t="str">
        <x:v>experiments/execution_65/experiment_5/config.json</x:v>
      </x:c>
      <x:c r="E14" s="1" t="str">
        <x:v>experiments/execution_65/experiment_5/results.json</x:v>
      </x:c>
      <x:c r="F14" s="1" t="str">
        <x:v>/home/dinos/ns-allinone-3.47/ns-3.47/experiments/execution_65/experiment_5</x:v>
      </x:c>
      <x:c r="G14" s="1" t="n">
        <x:v>200</x:v>
      </x:c>
      <x:c r="H14" s="1" t="n">
        <x:v>200.1805435</x:v>
      </x:c>
      <x:c r="I14" s="1" t="n">
        <x:v>10</x:v>
      </x:c>
      <x:c r="J14" s="1" t="n">
        <x:v>200</x:v>
      </x:c>
      <x:c r="K14" s="1" t="n">
        <x:v>100000000</x:v>
      </x:c>
      <x:c r="L14" s="1" t="n">
        <x:v>2</x:v>
      </x:c>
      <x:c r="M14" s="1" t="str">
        <x:v>DL|UL|UL|UL|</x:v>
      </x:c>
      <x:c r="N14" s="1" t="n">
        <x:v>1400</x:v>
      </x:c>
      <x:c r="O14" s="1" t="n">
        <x:v>1048576</x:v>
      </x:c>
      <x:c r="P14" s="1" t="n">
        <x:v>42</x:v>
      </x:c>
      <x:c r="Q14" s="1" t="n">
        <x:v>2</x:v>
      </x:c>
      <x:c r="R14" s="1" t="n">
        <x:v>134.9277216</x:v>
      </x:c>
      <x:c r="S14" s="1" t="n">
        <x:v>132.28208</x:v>
      </x:c>
      <x:c r="T14" s="1" t="n">
        <x:v>63.99238409</x:v>
      </x:c>
      <x:c r="U14" s="1" t="n">
        <x:v>0.127847004</x:v>
      </x:c>
      <x:c r="V14" s="1" t="n">
        <x:v>0.338588013</x:v>
      </x:c>
      <x:c r="W14" s="1" t="n">
        <x:v>178571</x:v>
      </x:c>
      <x:c r="X14" s="1" t="n">
        <x:v>118109</x:v>
      </x:c>
      <x:c r="Y14" s="1" t="n">
        <x:v>168659652</x:v>
      </x:c>
      <x:c r="Z14" s="1" t="n">
        <x:v>60462</x:v>
      </x:c>
      <x:c r="AA14" s="1" t="n">
        <x:v>65</x:v>
      </x:c>
      <x:c r="AB14" s="1" t="n">
        <x:v>2</x:v>
      </x:c>
    </x:row>
    <x:row r="15" ht="21" customHeight="1">
      <x:c r="A15" s="1" t="str">
        <x:v>distance_300m_run_2</x:v>
      </x:c>
      <x:c r="B15" s="1" t="n">
        <x:v>65</x:v>
      </x:c>
      <x:c r="C15" s="1" t="str">
        <x:v>ns3</x:v>
      </x:c>
      <x:c r="D15" s="1" t="str">
        <x:v>experiments/execution_65/experiment_6/config.json</x:v>
      </x:c>
      <x:c r="E15" s="1" t="str">
        <x:v>experiments/execution_65/experiment_6/results.json</x:v>
      </x:c>
      <x:c r="F15" s="1" t="str">
        <x:v>/home/dinos/ns-allinone-3.47/ns-3.47/experiments/execution_65/experiment_6</x:v>
      </x:c>
      <x:c r="G15" s="1" t="n">
        <x:v>300</x:v>
      </x:c>
      <x:c r="H15" s="1" t="n">
        <x:v>300.1203925</x:v>
      </x:c>
      <x:c r="I15" s="1" t="n">
        <x:v>10</x:v>
      </x:c>
      <x:c r="J15" s="1" t="n">
        <x:v>200</x:v>
      </x:c>
      <x:c r="K15" s="1" t="n">
        <x:v>100000000</x:v>
      </x:c>
      <x:c r="L15" s="1" t="n">
        <x:v>2</x:v>
      </x:c>
      <x:c r="M15" s="1" t="str">
        <x:v>DL|UL|UL|UL|</x:v>
      </x:c>
      <x:c r="N15" s="1" t="n">
        <x:v>1400</x:v>
      </x:c>
      <x:c r="O15" s="1" t="n">
        <x:v>1048576</x:v>
      </x:c>
      <x:c r="P15" s="1" t="n">
        <x:v>42</x:v>
      </x:c>
      <x:c r="Q15" s="1" t="n">
        <x:v>2</x:v>
      </x:c>
      <x:c r="R15" s="1" t="n">
        <x:v>94.602144</x:v>
      </x:c>
      <x:c r="S15" s="1" t="n">
        <x:v>92.7472</x:v>
      </x:c>
      <x:c r="T15" s="1" t="n">
        <x:v>90.76904244</x:v>
      </x:c>
      <x:c r="U15" s="1" t="n">
        <x:v>0.215765058</x:v>
      </x:c>
      <x:c r="V15" s="1" t="n">
        <x:v>0.536262887</x:v>
      </x:c>
      <x:c r="W15" s="1" t="n">
        <x:v>178571</x:v>
      </x:c>
      <x:c r="X15" s="1" t="n">
        <x:v>82810</x:v>
      </x:c>
      <x:c r="Y15" s="1" t="n">
        <x:v>118252680</x:v>
      </x:c>
      <x:c r="Z15" s="1" t="n">
        <x:v>95761</x:v>
      </x:c>
      <x:c r="AA15" s="1" t="n">
        <x:v>65</x:v>
      </x:c>
      <x:c r="AB15" s="1" t="n">
        <x:v>2</x:v>
      </x:c>
    </x:row>
    <x:row r="16" ht="21" customHeight="1">
      <x:c r="A16" s="1" t="str">
        <x:v>distance_25m_run_3</x:v>
      </x:c>
      <x:c r="B16" s="1" t="n">
        <x:v>66</x:v>
      </x:c>
      <x:c r="C16" s="1" t="str">
        <x:v>ns3</x:v>
      </x:c>
      <x:c r="D16" s="1" t="str">
        <x:v>experiments/execution_66/experiment_1/config.json</x:v>
      </x:c>
      <x:c r="E16" s="1" t="str">
        <x:v>experiments/execution_66/experiment_1/results.json</x:v>
      </x:c>
      <x:c r="F16" s="1" t="str">
        <x:v>/home/dinos/ns-allinone-3.47/ns-3.47/experiments/execution_66/experiment_1</x:v>
      </x:c>
      <x:c r="G16" s="1" t="n">
        <x:v>25</x:v>
      </x:c>
      <x:c r="H16" s="1" t="n">
        <x:v>26.40549185</x:v>
      </x:c>
      <x:c r="I16" s="1" t="n">
        <x:v>10</x:v>
      </x:c>
      <x:c r="J16" s="1" t="n">
        <x:v>200</x:v>
      </x:c>
      <x:c r="K16" s="1" t="n">
        <x:v>100000000</x:v>
      </x:c>
      <x:c r="L16" s="1" t="n">
        <x:v>2</x:v>
      </x:c>
      <x:c r="M16" s="1" t="str">
        <x:v>DL|UL|UL|UL|</x:v>
      </x:c>
      <x:c r="N16" s="1" t="n">
        <x:v>1400</x:v>
      </x:c>
      <x:c r="O16" s="1" t="n">
        <x:v>1048576</x:v>
      </x:c>
      <x:c r="P16" s="1" t="n">
        <x:v>42</x:v>
      </x:c>
      <x:c r="Q16" s="1" t="n">
        <x:v>3</x:v>
      </x:c>
      <x:c r="R16" s="1" t="n">
        <x:v>203.9995104</x:v>
      </x:c>
      <x:c r="S16" s="1" t="n">
        <x:v>199.99952</x:v>
      </x:c>
      <x:c r="T16" s="1" t="n">
        <x:v>3.644576033</x:v>
      </x:c>
      <x:c r="U16" s="1" t="n">
        <x:v>0.1004029</x:v>
      </x:c>
      <x:c r="V16" s="1" t="n">
        <x:v>0</x:v>
      </x:c>
      <x:c r="W16" s="1" t="n">
        <x:v>178571</x:v>
      </x:c>
      <x:c r="X16" s="1" t="n">
        <x:v>178571</x:v>
      </x:c>
      <x:c r="Y16" s="1" t="n">
        <x:v>254999388</x:v>
      </x:c>
      <x:c r="Z16" s="1" t="n">
        <x:v>0</x:v>
      </x:c>
      <x:c r="AA16" s="1" t="n">
        <x:v>66</x:v>
      </x:c>
      <x:c r="AB16" s="1" t="n">
        <x:v>2</x:v>
      </x:c>
    </x:row>
    <x:row r="17" ht="21" customHeight="1">
      <x:c r="A17" s="1" t="str">
        <x:v>distance_50m_run_3</x:v>
      </x:c>
      <x:c r="B17" s="1" t="n">
        <x:v>66</x:v>
      </x:c>
      <x:c r="C17" s="1" t="str">
        <x:v>ns3</x:v>
      </x:c>
      <x:c r="D17" s="1" t="str">
        <x:v>experiments/execution_66/experiment_2/config.json</x:v>
      </x:c>
      <x:c r="E17" s="1" t="str">
        <x:v>experiments/execution_66/experiment_2/results.json</x:v>
      </x:c>
      <x:c r="F17" s="1" t="str">
        <x:v>/home/dinos/ns-allinone-3.47/ns-3.47/experiments/execution_66/experiment_2</x:v>
      </x:c>
      <x:c r="G17" s="1" t="n">
        <x:v>50</x:v>
      </x:c>
      <x:c r="H17" s="1" t="n">
        <x:v>50.71735403</x:v>
      </x:c>
      <x:c r="I17" s="1" t="n">
        <x:v>10</x:v>
      </x:c>
      <x:c r="J17" s="1" t="n">
        <x:v>200</x:v>
      </x:c>
      <x:c r="K17" s="1" t="n">
        <x:v>100000000</x:v>
      </x:c>
      <x:c r="L17" s="1" t="n">
        <x:v>2</x:v>
      </x:c>
      <x:c r="M17" s="1" t="str">
        <x:v>DL|UL|UL|UL|</x:v>
      </x:c>
      <x:c r="N17" s="1" t="n">
        <x:v>1400</x:v>
      </x:c>
      <x:c r="O17" s="1" t="n">
        <x:v>1048576</x:v>
      </x:c>
      <x:c r="P17" s="1" t="n">
        <x:v>42</x:v>
      </x:c>
      <x:c r="Q17" s="1" t="n">
        <x:v>3</x:v>
      </x:c>
      <x:c r="R17" s="1" t="n">
        <x:v>203.9995104</x:v>
      </x:c>
      <x:c r="S17" s="1" t="n">
        <x:v>199.99952</x:v>
      </x:c>
      <x:c r="T17" s="1" t="n">
        <x:v>3.634514861</x:v>
      </x:c>
      <x:c r="U17" s="1" t="n">
        <x:v>0.100271965</x:v>
      </x:c>
      <x:c r="V17" s="1" t="n">
        <x:v>0</x:v>
      </x:c>
      <x:c r="W17" s="1" t="n">
        <x:v>178571</x:v>
      </x:c>
      <x:c r="X17" s="1" t="n">
        <x:v>178571</x:v>
      </x:c>
      <x:c r="Y17" s="1" t="n">
        <x:v>254999388</x:v>
      </x:c>
      <x:c r="Z17" s="1" t="n">
        <x:v>0</x:v>
      </x:c>
      <x:c r="AA17" s="1" t="n">
        <x:v>66</x:v>
      </x:c>
      <x:c r="AB17" s="1" t="n">
        <x:v>2</x:v>
      </x:c>
    </x:row>
    <x:row r="18" ht="21" customHeight="1">
      <x:c r="A18" s="1" t="str">
        <x:v>distance_100m_run_3</x:v>
      </x:c>
      <x:c r="B18" s="1" t="n">
        <x:v>66</x:v>
      </x:c>
      <x:c r="C18" s="1" t="str">
        <x:v>ns3</x:v>
      </x:c>
      <x:c r="D18" s="1" t="str">
        <x:v>experiments/execution_66/experiment_3/config.json</x:v>
      </x:c>
      <x:c r="E18" s="1" t="str">
        <x:v>experiments/execution_66/experiment_3/results.json</x:v>
      </x:c>
      <x:c r="F18" s="1" t="str">
        <x:v>/home/dinos/ns-allinone-3.47/ns-3.47/experiments/execution_66/experiment_3</x:v>
      </x:c>
      <x:c r="G18" s="1" t="n">
        <x:v>100</x:v>
      </x:c>
      <x:c r="H18" s="1" t="n">
        <x:v>100.3605998</x:v>
      </x:c>
      <x:c r="I18" s="1" t="n">
        <x:v>10</x:v>
      </x:c>
      <x:c r="J18" s="1" t="n">
        <x:v>200</x:v>
      </x:c>
      <x:c r="K18" s="1" t="n">
        <x:v>100000000</x:v>
      </x:c>
      <x:c r="L18" s="1" t="n">
        <x:v>2</x:v>
      </x:c>
      <x:c r="M18" s="1" t="str">
        <x:v>DL|UL|UL|UL|</x:v>
      </x:c>
      <x:c r="N18" s="1" t="n">
        <x:v>1400</x:v>
      </x:c>
      <x:c r="O18" s="1" t="n">
        <x:v>1048576</x:v>
      </x:c>
      <x:c r="P18" s="1" t="n">
        <x:v>42</x:v>
      </x:c>
      <x:c r="Q18" s="1" t="n">
        <x:v>3</x:v>
      </x:c>
      <x:c r="R18" s="1" t="n">
        <x:v>203.9995104</x:v>
      </x:c>
      <x:c r="S18" s="1" t="n">
        <x:v>199.99952</x:v>
      </x:c>
      <x:c r="T18" s="1" t="n">
        <x:v>3.653905933</x:v>
      </x:c>
      <x:c r="U18" s="1" t="n">
        <x:v>0.098973595</x:v>
      </x:c>
      <x:c r="V18" s="1" t="n">
        <x:v>0</x:v>
      </x:c>
      <x:c r="W18" s="1" t="n">
        <x:v>178571</x:v>
      </x:c>
      <x:c r="X18" s="1" t="n">
        <x:v>178571</x:v>
      </x:c>
      <x:c r="Y18" s="1" t="n">
        <x:v>254999388</x:v>
      </x:c>
      <x:c r="Z18" s="1" t="n">
        <x:v>0</x:v>
      </x:c>
      <x:c r="AA18" s="1" t="n">
        <x:v>66</x:v>
      </x:c>
      <x:c r="AB18" s="1" t="n">
        <x:v>2</x:v>
      </x:c>
    </x:row>
    <x:row r="19" ht="21" customHeight="1">
      <x:c r="A19" s="1" t="str">
        <x:v>distance_150m_run_3</x:v>
      </x:c>
      <x:c r="B19" s="1" t="n">
        <x:v>66</x:v>
      </x:c>
      <x:c r="C19" s="1" t="str">
        <x:v>ns3</x:v>
      </x:c>
      <x:c r="D19" s="1" t="str">
        <x:v>experiments/execution_66/experiment_4/config.json</x:v>
      </x:c>
      <x:c r="E19" s="1" t="str">
        <x:v>experiments/execution_66/experiment_4/results.json</x:v>
      </x:c>
      <x:c r="F19" s="1" t="str">
        <x:v>/home/dinos/ns-allinone-3.47/ns-3.47/experiments/execution_66/experiment_4</x:v>
      </x:c>
      <x:c r="G19" s="1" t="n">
        <x:v>150</x:v>
      </x:c>
      <x:c r="H19" s="1" t="n">
        <x:v>150.2406403</x:v>
      </x:c>
      <x:c r="I19" s="1" t="n">
        <x:v>10</x:v>
      </x:c>
      <x:c r="J19" s="1" t="n">
        <x:v>200</x:v>
      </x:c>
      <x:c r="K19" s="1" t="n">
        <x:v>100000000</x:v>
      </x:c>
      <x:c r="L19" s="1" t="n">
        <x:v>2</x:v>
      </x:c>
      <x:c r="M19" s="1" t="str">
        <x:v>DL|UL|UL|UL|</x:v>
      </x:c>
      <x:c r="N19" s="1" t="n">
        <x:v>1400</x:v>
      </x:c>
      <x:c r="O19" s="1" t="n">
        <x:v>1048576</x:v>
      </x:c>
      <x:c r="P19" s="1" t="n">
        <x:v>42</x:v>
      </x:c>
      <x:c r="Q19" s="1" t="n">
        <x:v>3</x:v>
      </x:c>
      <x:c r="R19" s="1" t="n">
        <x:v>175.1733312</x:v>
      </x:c>
      <x:c r="S19" s="1" t="n">
        <x:v>171.73856</x:v>
      </x:c>
      <x:c r="T19" s="1" t="n">
        <x:v>101.6944944</x:v>
      </x:c>
      <x:c r="U19" s="1" t="n">
        <x:v>0.124445432</x:v>
      </x:c>
      <x:c r="V19" s="1" t="n">
        <x:v>0.141305139</x:v>
      </x:c>
      <x:c r="W19" s="1" t="n">
        <x:v>178571</x:v>
      </x:c>
      <x:c r="X19" s="1" t="n">
        <x:v>153338</x:v>
      </x:c>
      <x:c r="Y19" s="1" t="n">
        <x:v>218966664</x:v>
      </x:c>
      <x:c r="Z19" s="1" t="n">
        <x:v>25233</x:v>
      </x:c>
      <x:c r="AA19" s="1" t="n">
        <x:v>66</x:v>
      </x:c>
      <x:c r="AB19" s="1" t="n">
        <x:v>2</x:v>
      </x:c>
    </x:row>
    <x:row r="20" ht="21" customHeight="1">
      <x:c r="A20" s="1" t="str">
        <x:v>distance_200m_run_3</x:v>
      </x:c>
      <x:c r="B20" s="1" t="n">
        <x:v>66</x:v>
      </x:c>
      <x:c r="C20" s="1" t="str">
        <x:v>ns3</x:v>
      </x:c>
      <x:c r="D20" s="1" t="str">
        <x:v>experiments/execution_66/experiment_5/config.json</x:v>
      </x:c>
      <x:c r="E20" s="1" t="str">
        <x:v>experiments/execution_66/experiment_5/results.json</x:v>
      </x:c>
      <x:c r="F20" s="1" t="str">
        <x:v>/home/dinos/ns-allinone-3.47/ns-3.47/experiments/execution_66/experiment_5</x:v>
      </x:c>
      <x:c r="G20" s="1" t="n">
        <x:v>200</x:v>
      </x:c>
      <x:c r="H20" s="1" t="n">
        <x:v>200.1805435</x:v>
      </x:c>
      <x:c r="I20" s="1" t="n">
        <x:v>10</x:v>
      </x:c>
      <x:c r="J20" s="1" t="n">
        <x:v>200</x:v>
      </x:c>
      <x:c r="K20" s="1" t="n">
        <x:v>100000000</x:v>
      </x:c>
      <x:c r="L20" s="1" t="n">
        <x:v>2</x:v>
      </x:c>
      <x:c r="M20" s="1" t="str">
        <x:v>DL|UL|UL|UL|</x:v>
      </x:c>
      <x:c r="N20" s="1" t="n">
        <x:v>1400</x:v>
      </x:c>
      <x:c r="O20" s="1" t="n">
        <x:v>1048576</x:v>
      </x:c>
      <x:c r="P20" s="1" t="n">
        <x:v>42</x:v>
      </x:c>
      <x:c r="Q20" s="1" t="n">
        <x:v>3</x:v>
      </x:c>
      <x:c r="R20" s="1" t="n">
        <x:v>134.9277216</x:v>
      </x:c>
      <x:c r="S20" s="1" t="n">
        <x:v>132.28208</x:v>
      </x:c>
      <x:c r="T20" s="1" t="n">
        <x:v>63.98770493</x:v>
      </x:c>
      <x:c r="U20" s="1" t="n">
        <x:v>0.12793798</x:v>
      </x:c>
      <x:c r="V20" s="1" t="n">
        <x:v>0.338588013</x:v>
      </x:c>
      <x:c r="W20" s="1" t="n">
        <x:v>178571</x:v>
      </x:c>
      <x:c r="X20" s="1" t="n">
        <x:v>118109</x:v>
      </x:c>
      <x:c r="Y20" s="1" t="n">
        <x:v>168659652</x:v>
      </x:c>
      <x:c r="Z20" s="1" t="n">
        <x:v>60462</x:v>
      </x:c>
      <x:c r="AA20" s="1" t="n">
        <x:v>66</x:v>
      </x:c>
      <x:c r="AB20" s="1" t="n">
        <x:v>2</x:v>
      </x:c>
    </x:row>
    <x:row r="21" ht="21" customHeight="1">
      <x:c r="A21" s="1" t="str">
        <x:v>distance_300m_run_3</x:v>
      </x:c>
      <x:c r="B21" s="1" t="n">
        <x:v>66</x:v>
      </x:c>
      <x:c r="C21" s="1" t="str">
        <x:v>ns3</x:v>
      </x:c>
      <x:c r="D21" s="1" t="str">
        <x:v>experiments/execution_66/experiment_6/config.json</x:v>
      </x:c>
      <x:c r="E21" s="1" t="str">
        <x:v>experiments/execution_66/experiment_6/results.json</x:v>
      </x:c>
      <x:c r="F21" s="1" t="str">
        <x:v>/home/dinos/ns-allinone-3.47/ns-3.47/experiments/execution_66/experiment_6</x:v>
      </x:c>
      <x:c r="G21" s="1" t="n">
        <x:v>300</x:v>
      </x:c>
      <x:c r="H21" s="1" t="n">
        <x:v>300.1203925</x:v>
      </x:c>
      <x:c r="I21" s="1" t="n">
        <x:v>10</x:v>
      </x:c>
      <x:c r="J21" s="1" t="n">
        <x:v>200</x:v>
      </x:c>
      <x:c r="K21" s="1" t="n">
        <x:v>100000000</x:v>
      </x:c>
      <x:c r="L21" s="1" t="n">
        <x:v>2</x:v>
      </x:c>
      <x:c r="M21" s="1" t="str">
        <x:v>DL|UL|UL|UL|</x:v>
      </x:c>
      <x:c r="N21" s="1" t="n">
        <x:v>1400</x:v>
      </x:c>
      <x:c r="O21" s="1" t="n">
        <x:v>1048576</x:v>
      </x:c>
      <x:c r="P21" s="1" t="n">
        <x:v>42</x:v>
      </x:c>
      <x:c r="Q21" s="1" t="n">
        <x:v>3</x:v>
      </x:c>
      <x:c r="R21" s="1" t="n">
        <x:v>94.602144</x:v>
      </x:c>
      <x:c r="S21" s="1" t="n">
        <x:v>92.7472</x:v>
      </x:c>
      <x:c r="T21" s="1" t="n">
        <x:v>90.76771553</x:v>
      </x:c>
      <x:c r="U21" s="1" t="n">
        <x:v>0.215800856</x:v>
      </x:c>
      <x:c r="V21" s="1" t="n">
        <x:v>0.536262887</x:v>
      </x:c>
      <x:c r="W21" s="1" t="n">
        <x:v>178571</x:v>
      </x:c>
      <x:c r="X21" s="1" t="n">
        <x:v>82810</x:v>
      </x:c>
      <x:c r="Y21" s="1" t="n">
        <x:v>118252680</x:v>
      </x:c>
      <x:c r="Z21" s="1" t="n">
        <x:v>95761</x:v>
      </x:c>
      <x:c r="AA21" s="1" t="n">
        <x:v>66</x:v>
      </x:c>
      <x:c r="AB21" s="1" t="n">
        <x:v>2</x:v>
      </x:c>
    </x:row>
    <x:row r="22" ht="21" customHeight="1">
      <x:c r="A22" s="1" t="str">
        <x:v>distance_25m_run_4</x:v>
      </x:c>
      <x:c r="B22" s="1" t="n">
        <x:v>67</x:v>
      </x:c>
      <x:c r="C22" s="1" t="str">
        <x:v>ns3</x:v>
      </x:c>
      <x:c r="D22" s="1" t="str">
        <x:v>experiments/execution_67/experiment_1/config.json</x:v>
      </x:c>
      <x:c r="E22" s="1" t="str">
        <x:v>experiments/execution_67/experiment_1/results.json</x:v>
      </x:c>
      <x:c r="F22" s="1" t="str">
        <x:v>/home/dinos/ns-allinone-3.47/ns-3.47/experiments/execution_67/experiment_1</x:v>
      </x:c>
      <x:c r="G22" s="1" t="n">
        <x:v>25</x:v>
      </x:c>
      <x:c r="H22" s="1" t="n">
        <x:v>26.40549185</x:v>
      </x:c>
      <x:c r="I22" s="1" t="n">
        <x:v>10</x:v>
      </x:c>
      <x:c r="J22" s="1" t="n">
        <x:v>200</x:v>
      </x:c>
      <x:c r="K22" s="1" t="n">
        <x:v>100000000</x:v>
      </x:c>
      <x:c r="L22" s="1" t="n">
        <x:v>2</x:v>
      </x:c>
      <x:c r="M22" s="1" t="str">
        <x:v>DL|UL|UL|UL|</x:v>
      </x:c>
      <x:c r="N22" s="1" t="n">
        <x:v>1400</x:v>
      </x:c>
      <x:c r="O22" s="1" t="n">
        <x:v>1048576</x:v>
      </x:c>
      <x:c r="P22" s="1" t="n">
        <x:v>42</x:v>
      </x:c>
      <x:c r="Q22" s="1" t="n">
        <x:v>4</x:v>
      </x:c>
      <x:c r="R22" s="1" t="n">
        <x:v>203.9995104</x:v>
      </x:c>
      <x:c r="S22" s="1" t="n">
        <x:v>199.99952</x:v>
      </x:c>
      <x:c r="T22" s="1" t="n">
        <x:v>3.637060718</x:v>
      </x:c>
      <x:c r="U22" s="1" t="n">
        <x:v>0.100296692</x:v>
      </x:c>
      <x:c r="V22" s="1" t="n">
        <x:v>0</x:v>
      </x:c>
      <x:c r="W22" s="1" t="n">
        <x:v>178571</x:v>
      </x:c>
      <x:c r="X22" s="1" t="n">
        <x:v>178571</x:v>
      </x:c>
      <x:c r="Y22" s="1" t="n">
        <x:v>254999388</x:v>
      </x:c>
      <x:c r="Z22" s="1" t="n">
        <x:v>0</x:v>
      </x:c>
      <x:c r="AA22" s="1" t="n">
        <x:v>67</x:v>
      </x:c>
      <x:c r="AB22" s="1" t="n">
        <x:v>2</x:v>
      </x:c>
    </x:row>
    <x:row r="23" ht="21" customHeight="1">
      <x:c r="A23" s="1" t="str">
        <x:v>distance_50m_run_4</x:v>
      </x:c>
      <x:c r="B23" s="1" t="n">
        <x:v>67</x:v>
      </x:c>
      <x:c r="C23" s="1" t="str">
        <x:v>ns3</x:v>
      </x:c>
      <x:c r="D23" s="1" t="str">
        <x:v>experiments/execution_67/experiment_2/config.json</x:v>
      </x:c>
      <x:c r="E23" s="1" t="str">
        <x:v>experiments/execution_67/experiment_2/results.json</x:v>
      </x:c>
      <x:c r="F23" s="1" t="str">
        <x:v>/home/dinos/ns-allinone-3.47/ns-3.47/experiments/execution_67/experiment_2</x:v>
      </x:c>
      <x:c r="G23" s="1" t="n">
        <x:v>50</x:v>
      </x:c>
      <x:c r="H23" s="1" t="n">
        <x:v>50.71735403</x:v>
      </x:c>
      <x:c r="I23" s="1" t="n">
        <x:v>10</x:v>
      </x:c>
      <x:c r="J23" s="1" t="n">
        <x:v>200</x:v>
      </x:c>
      <x:c r="K23" s="1" t="n">
        <x:v>100000000</x:v>
      </x:c>
      <x:c r="L23" s="1" t="n">
        <x:v>2</x:v>
      </x:c>
      <x:c r="M23" s="1" t="str">
        <x:v>DL|UL|UL|UL|</x:v>
      </x:c>
      <x:c r="N23" s="1" t="n">
        <x:v>1400</x:v>
      </x:c>
      <x:c r="O23" s="1" t="n">
        <x:v>1048576</x:v>
      </x:c>
      <x:c r="P23" s="1" t="n">
        <x:v>42</x:v>
      </x:c>
      <x:c r="Q23" s="1" t="n">
        <x:v>4</x:v>
      </x:c>
      <x:c r="R23" s="1" t="n">
        <x:v>203.9995104</x:v>
      </x:c>
      <x:c r="S23" s="1" t="n">
        <x:v>199.99952</x:v>
      </x:c>
      <x:c r="T23" s="1" t="n">
        <x:v>3.64738158</x:v>
      </x:c>
      <x:c r="U23" s="1" t="n">
        <x:v>0.100326603</x:v>
      </x:c>
      <x:c r="V23" s="1" t="n">
        <x:v>0</x:v>
      </x:c>
      <x:c r="W23" s="1" t="n">
        <x:v>178571</x:v>
      </x:c>
      <x:c r="X23" s="1" t="n">
        <x:v>178571</x:v>
      </x:c>
      <x:c r="Y23" s="1" t="n">
        <x:v>254999388</x:v>
      </x:c>
      <x:c r="Z23" s="1" t="n">
        <x:v>0</x:v>
      </x:c>
      <x:c r="AA23" s="1" t="n">
        <x:v>67</x:v>
      </x:c>
      <x:c r="AB23" s="1" t="n">
        <x:v>2</x:v>
      </x:c>
    </x:row>
    <x:row r="24" ht="21" customHeight="1">
      <x:c r="A24" s="1" t="str">
        <x:v>distance_100m_run_4</x:v>
      </x:c>
      <x:c r="B24" s="1" t="n">
        <x:v>67</x:v>
      </x:c>
      <x:c r="C24" s="1" t="str">
        <x:v>ns3</x:v>
      </x:c>
      <x:c r="D24" s="1" t="str">
        <x:v>experiments/execution_67/experiment_3/config.json</x:v>
      </x:c>
      <x:c r="E24" s="1" t="str">
        <x:v>experiments/execution_67/experiment_3/results.json</x:v>
      </x:c>
      <x:c r="F24" s="1" t="str">
        <x:v>/home/dinos/ns-allinone-3.47/ns-3.47/experiments/execution_67/experiment_3</x:v>
      </x:c>
      <x:c r="G24" s="1" t="n">
        <x:v>100</x:v>
      </x:c>
      <x:c r="H24" s="1" t="n">
        <x:v>100.3605998</x:v>
      </x:c>
      <x:c r="I24" s="1" t="n">
        <x:v>10</x:v>
      </x:c>
      <x:c r="J24" s="1" t="n">
        <x:v>200</x:v>
      </x:c>
      <x:c r="K24" s="1" t="n">
        <x:v>100000000</x:v>
      </x:c>
      <x:c r="L24" s="1" t="n">
        <x:v>2</x:v>
      </x:c>
      <x:c r="M24" s="1" t="str">
        <x:v>DL|UL|UL|UL|</x:v>
      </x:c>
      <x:c r="N24" s="1" t="n">
        <x:v>1400</x:v>
      </x:c>
      <x:c r="O24" s="1" t="n">
        <x:v>1048576</x:v>
      </x:c>
      <x:c r="P24" s="1" t="n">
        <x:v>42</x:v>
      </x:c>
      <x:c r="Q24" s="1" t="n">
        <x:v>4</x:v>
      </x:c>
      <x:c r="R24" s="1" t="n">
        <x:v>203.9995104</x:v>
      </x:c>
      <x:c r="S24" s="1" t="n">
        <x:v>199.99952</x:v>
      </x:c>
      <x:c r="T24" s="1" t="n">
        <x:v>3.650904051</x:v>
      </x:c>
      <x:c r="U24" s="1" t="n">
        <x:v>0.099049933</x:v>
      </x:c>
      <x:c r="V24" s="1" t="n">
        <x:v>0</x:v>
      </x:c>
      <x:c r="W24" s="1" t="n">
        <x:v>178571</x:v>
      </x:c>
      <x:c r="X24" s="1" t="n">
        <x:v>178571</x:v>
      </x:c>
      <x:c r="Y24" s="1" t="n">
        <x:v>254999388</x:v>
      </x:c>
      <x:c r="Z24" s="1" t="n">
        <x:v>0</x:v>
      </x:c>
      <x:c r="AA24" s="1" t="n">
        <x:v>67</x:v>
      </x:c>
      <x:c r="AB24" s="1" t="n">
        <x:v>2</x:v>
      </x:c>
    </x:row>
    <x:row r="25" ht="21" customHeight="1">
      <x:c r="A25" s="1" t="str">
        <x:v>distance_150m_run_4</x:v>
      </x:c>
      <x:c r="B25" s="1" t="n">
        <x:v>67</x:v>
      </x:c>
      <x:c r="C25" s="1" t="str">
        <x:v>ns3</x:v>
      </x:c>
      <x:c r="D25" s="1" t="str">
        <x:v>experiments/execution_67/experiment_4/config.json</x:v>
      </x:c>
      <x:c r="E25" s="1" t="str">
        <x:v>experiments/execution_67/experiment_4/results.json</x:v>
      </x:c>
      <x:c r="F25" s="1" t="str">
        <x:v>/home/dinos/ns-allinone-3.47/ns-3.47/experiments/execution_67/experiment_4</x:v>
      </x:c>
      <x:c r="G25" s="1" t="n">
        <x:v>150</x:v>
      </x:c>
      <x:c r="H25" s="1" t="n">
        <x:v>150.2406403</x:v>
      </x:c>
      <x:c r="I25" s="1" t="n">
        <x:v>10</x:v>
      </x:c>
      <x:c r="J25" s="1" t="n">
        <x:v>200</x:v>
      </x:c>
      <x:c r="K25" s="1" t="n">
        <x:v>100000000</x:v>
      </x:c>
      <x:c r="L25" s="1" t="n">
        <x:v>2</x:v>
      </x:c>
      <x:c r="M25" s="1" t="str">
        <x:v>DL|UL|UL|UL|</x:v>
      </x:c>
      <x:c r="N25" s="1" t="n">
        <x:v>1400</x:v>
      </x:c>
      <x:c r="O25" s="1" t="n">
        <x:v>1048576</x:v>
      </x:c>
      <x:c r="P25" s="1" t="n">
        <x:v>42</x:v>
      </x:c>
      <x:c r="Q25" s="1" t="n">
        <x:v>4</x:v>
      </x:c>
      <x:c r="R25" s="1" t="n">
        <x:v>175.3229856</x:v>
      </x:c>
      <x:c r="S25" s="1" t="n">
        <x:v>171.88528</x:v>
      </x:c>
      <x:c r="T25" s="1" t="n">
        <x:v>100.1426763</x:v>
      </x:c>
      <x:c r="U25" s="1" t="n">
        <x:v>0.12446087</x:v>
      </x:c>
      <x:c r="V25" s="1" t="n">
        <x:v>0.140571537</x:v>
      </x:c>
      <x:c r="W25" s="1" t="n">
        <x:v>178571</x:v>
      </x:c>
      <x:c r="X25" s="1" t="n">
        <x:v>153469</x:v>
      </x:c>
      <x:c r="Y25" s="1" t="n">
        <x:v>219153732</x:v>
      </x:c>
      <x:c r="Z25" s="1" t="n">
        <x:v>25102</x:v>
      </x:c>
      <x:c r="AA25" s="1" t="n">
        <x:v>67</x:v>
      </x:c>
      <x:c r="AB25" s="1" t="n">
        <x:v>2</x:v>
      </x:c>
    </x:row>
    <x:row r="26" ht="21" customHeight="1">
      <x:c r="A26" s="1" t="str">
        <x:v>distance_200m_run_4</x:v>
      </x:c>
      <x:c r="B26" s="1" t="n">
        <x:v>67</x:v>
      </x:c>
      <x:c r="C26" s="1" t="str">
        <x:v>ns3</x:v>
      </x:c>
      <x:c r="D26" s="1" t="str">
        <x:v>experiments/execution_67/experiment_5/config.json</x:v>
      </x:c>
      <x:c r="E26" s="1" t="str">
        <x:v>experiments/execution_67/experiment_5/results.json</x:v>
      </x:c>
      <x:c r="F26" s="1" t="str">
        <x:v>/home/dinos/ns-allinone-3.47/ns-3.47/experiments/execution_67/experiment_5</x:v>
      </x:c>
      <x:c r="G26" s="1" t="n">
        <x:v>200</x:v>
      </x:c>
      <x:c r="H26" s="1" t="n">
        <x:v>200.1805435</x:v>
      </x:c>
      <x:c r="I26" s="1" t="n">
        <x:v>10</x:v>
      </x:c>
      <x:c r="J26" s="1" t="n">
        <x:v>200</x:v>
      </x:c>
      <x:c r="K26" s="1" t="n">
        <x:v>100000000</x:v>
      </x:c>
      <x:c r="L26" s="1" t="n">
        <x:v>2</x:v>
      </x:c>
      <x:c r="M26" s="1" t="str">
        <x:v>DL|UL|UL|UL|</x:v>
      </x:c>
      <x:c r="N26" s="1" t="n">
        <x:v>1400</x:v>
      </x:c>
      <x:c r="O26" s="1" t="n">
        <x:v>1048576</x:v>
      </x:c>
      <x:c r="P26" s="1" t="n">
        <x:v>42</x:v>
      </x:c>
      <x:c r="Q26" s="1" t="n">
        <x:v>4</x:v>
      </x:c>
      <x:c r="R26" s="1" t="n">
        <x:v>134.9277216</x:v>
      </x:c>
      <x:c r="S26" s="1" t="n">
        <x:v>132.28208</x:v>
      </x:c>
      <x:c r="T26" s="1" t="n">
        <x:v>63.99377611</x:v>
      </x:c>
      <x:c r="U26" s="1" t="n">
        <x:v>0.128263306</x:v>
      </x:c>
      <x:c r="V26" s="1" t="n">
        <x:v>0.338588013</x:v>
      </x:c>
      <x:c r="W26" s="1" t="n">
        <x:v>178571</x:v>
      </x:c>
      <x:c r="X26" s="1" t="n">
        <x:v>118109</x:v>
      </x:c>
      <x:c r="Y26" s="1" t="n">
        <x:v>168659652</x:v>
      </x:c>
      <x:c r="Z26" s="1" t="n">
        <x:v>60462</x:v>
      </x:c>
      <x:c r="AA26" s="1" t="n">
        <x:v>67</x:v>
      </x:c>
      <x:c r="AB26" s="1" t="n">
        <x:v>2</x:v>
      </x:c>
    </x:row>
    <x:row r="27" ht="21" customHeight="1">
      <x:c r="A27" s="1" t="str">
        <x:v>distance_300m_run_4</x:v>
      </x:c>
      <x:c r="B27" s="1" t="n">
        <x:v>67</x:v>
      </x:c>
      <x:c r="C27" s="1" t="str">
        <x:v>ns3</x:v>
      </x:c>
      <x:c r="D27" s="1" t="str">
        <x:v>experiments/execution_67/experiment_6/config.json</x:v>
      </x:c>
      <x:c r="E27" s="1" t="str">
        <x:v>experiments/execution_67/experiment_6/results.json</x:v>
      </x:c>
      <x:c r="F27" s="1" t="str">
        <x:v>/home/dinos/ns-allinone-3.47/ns-3.47/experiments/execution_67/experiment_6</x:v>
      </x:c>
      <x:c r="G27" s="1" t="n">
        <x:v>300</x:v>
      </x:c>
      <x:c r="H27" s="1" t="n">
        <x:v>300.1203925</x:v>
      </x:c>
      <x:c r="I27" s="1" t="n">
        <x:v>10</x:v>
      </x:c>
      <x:c r="J27" s="1" t="n">
        <x:v>200</x:v>
      </x:c>
      <x:c r="K27" s="1" t="n">
        <x:v>100000000</x:v>
      </x:c>
      <x:c r="L27" s="1" t="n">
        <x:v>2</x:v>
      </x:c>
      <x:c r="M27" s="1" t="str">
        <x:v>DL|UL|UL|UL|</x:v>
      </x:c>
      <x:c r="N27" s="1" t="n">
        <x:v>1400</x:v>
      </x:c>
      <x:c r="O27" s="1" t="n">
        <x:v>1048576</x:v>
      </x:c>
      <x:c r="P27" s="1" t="n">
        <x:v>42</x:v>
      </x:c>
      <x:c r="Q27" s="1" t="n">
        <x:v>4</x:v>
      </x:c>
      <x:c r="R27" s="1" t="n">
        <x:v>94.602144</x:v>
      </x:c>
      <x:c r="S27" s="1" t="n">
        <x:v>92.7472</x:v>
      </x:c>
      <x:c r="T27" s="1" t="n">
        <x:v>90.77169677</x:v>
      </x:c>
      <x:c r="U27" s="1" t="n">
        <x:v>0.215814633</x:v>
      </x:c>
      <x:c r="V27" s="1" t="n">
        <x:v>0.536262887</x:v>
      </x:c>
      <x:c r="W27" s="1" t="n">
        <x:v>178571</x:v>
      </x:c>
      <x:c r="X27" s="1" t="n">
        <x:v>82810</x:v>
      </x:c>
      <x:c r="Y27" s="1" t="n">
        <x:v>118252680</x:v>
      </x:c>
      <x:c r="Z27" s="1" t="n">
        <x:v>95761</x:v>
      </x:c>
      <x:c r="AA27" s="1" t="n">
        <x:v>67</x:v>
      </x:c>
      <x:c r="AB27" s="1" t="n">
        <x:v>2</x:v>
      </x:c>
    </x:row>
    <x:row r="28" ht="21" customHeight="1">
      <x:c r="A28" s="1" t="str">
        <x:v>distance_25m_run_5</x:v>
      </x:c>
      <x:c r="B28" s="1" t="n">
        <x:v>68</x:v>
      </x:c>
      <x:c r="C28" s="1" t="str">
        <x:v>ns3</x:v>
      </x:c>
      <x:c r="D28" s="1" t="str">
        <x:v>experiments/execution_68/experiment_1/config.json</x:v>
      </x:c>
      <x:c r="E28" s="1" t="str">
        <x:v>experiments/execution_68/experiment_1/results.json</x:v>
      </x:c>
      <x:c r="F28" s="1" t="str">
        <x:v>/home/dinos/ns-allinone-3.47/ns-3.47/experiments/execution_68/experiment_1</x:v>
      </x:c>
      <x:c r="G28" s="1" t="n">
        <x:v>25</x:v>
      </x:c>
      <x:c r="H28" s="1" t="n">
        <x:v>26.40549185</x:v>
      </x:c>
      <x:c r="I28" s="1" t="n">
        <x:v>10</x:v>
      </x:c>
      <x:c r="J28" s="1" t="n">
        <x:v>200</x:v>
      </x:c>
      <x:c r="K28" s="1" t="n">
        <x:v>100000000</x:v>
      </x:c>
      <x:c r="L28" s="1" t="n">
        <x:v>2</x:v>
      </x:c>
      <x:c r="M28" s="1" t="str">
        <x:v>DL|UL|UL|UL|</x:v>
      </x:c>
      <x:c r="N28" s="1" t="n">
        <x:v>1400</x:v>
      </x:c>
      <x:c r="O28" s="1" t="n">
        <x:v>1048576</x:v>
      </x:c>
      <x:c r="P28" s="1" t="n">
        <x:v>42</x:v>
      </x:c>
      <x:c r="Q28" s="1" t="n">
        <x:v>5</x:v>
      </x:c>
      <x:c r="R28" s="1" t="n">
        <x:v>203.9995104</x:v>
      </x:c>
      <x:c r="S28" s="1" t="n">
        <x:v>199.99952</x:v>
      </x:c>
      <x:c r="T28" s="1" t="n">
        <x:v>3.642207598</x:v>
      </x:c>
      <x:c r="U28" s="1" t="n">
        <x:v>0.100241647</x:v>
      </x:c>
      <x:c r="V28" s="1" t="n">
        <x:v>0</x:v>
      </x:c>
      <x:c r="W28" s="1" t="n">
        <x:v>178571</x:v>
      </x:c>
      <x:c r="X28" s="1" t="n">
        <x:v>178571</x:v>
      </x:c>
      <x:c r="Y28" s="1" t="n">
        <x:v>254999388</x:v>
      </x:c>
      <x:c r="Z28" s="1" t="n">
        <x:v>0</x:v>
      </x:c>
      <x:c r="AA28" s="1" t="n">
        <x:v>68</x:v>
      </x:c>
      <x:c r="AB28" s="1" t="n">
        <x:v>2</x:v>
      </x:c>
    </x:row>
    <x:row r="29" ht="21" customHeight="1">
      <x:c r="A29" s="1" t="str">
        <x:v>distance_50m_run_5</x:v>
      </x:c>
      <x:c r="B29" s="1" t="n">
        <x:v>68</x:v>
      </x:c>
      <x:c r="C29" s="1" t="str">
        <x:v>ns3</x:v>
      </x:c>
      <x:c r="D29" s="1" t="str">
        <x:v>experiments/execution_68/experiment_2/config.json</x:v>
      </x:c>
      <x:c r="E29" s="1" t="str">
        <x:v>experiments/execution_68/experiment_2/results.json</x:v>
      </x:c>
      <x:c r="F29" s="1" t="str">
        <x:v>/home/dinos/ns-allinone-3.47/ns-3.47/experiments/execution_68/experiment_2</x:v>
      </x:c>
      <x:c r="G29" s="1" t="n">
        <x:v>50</x:v>
      </x:c>
      <x:c r="H29" s="1" t="n">
        <x:v>50.71735403</x:v>
      </x:c>
      <x:c r="I29" s="1" t="n">
        <x:v>10</x:v>
      </x:c>
      <x:c r="J29" s="1" t="n">
        <x:v>200</x:v>
      </x:c>
      <x:c r="K29" s="1" t="n">
        <x:v>100000000</x:v>
      </x:c>
      <x:c r="L29" s="1" t="n">
        <x:v>2</x:v>
      </x:c>
      <x:c r="M29" s="1" t="str">
        <x:v>DL|UL|UL|UL|</x:v>
      </x:c>
      <x:c r="N29" s="1" t="n">
        <x:v>1400</x:v>
      </x:c>
      <x:c r="O29" s="1" t="n">
        <x:v>1048576</x:v>
      </x:c>
      <x:c r="P29" s="1" t="n">
        <x:v>42</x:v>
      </x:c>
      <x:c r="Q29" s="1" t="n">
        <x:v>5</x:v>
      </x:c>
      <x:c r="R29" s="1" t="n">
        <x:v>203.9995104</x:v>
      </x:c>
      <x:c r="S29" s="1" t="n">
        <x:v>199.99952</x:v>
      </x:c>
      <x:c r="T29" s="1" t="n">
        <x:v>3.649861074</x:v>
      </x:c>
      <x:c r="U29" s="1" t="n">
        <x:v>0.100318678</x:v>
      </x:c>
      <x:c r="V29" s="1" t="n">
        <x:v>0</x:v>
      </x:c>
      <x:c r="W29" s="1" t="n">
        <x:v>178571</x:v>
      </x:c>
      <x:c r="X29" s="1" t="n">
        <x:v>178571</x:v>
      </x:c>
      <x:c r="Y29" s="1" t="n">
        <x:v>254999388</x:v>
      </x:c>
      <x:c r="Z29" s="1" t="n">
        <x:v>0</x:v>
      </x:c>
      <x:c r="AA29" s="1" t="n">
        <x:v>68</x:v>
      </x:c>
      <x:c r="AB29" s="1" t="n">
        <x:v>2</x:v>
      </x:c>
    </x:row>
    <x:row r="30" ht="21" customHeight="1">
      <x:c r="A30" s="1" t="str">
        <x:v>distance_100m_run_5</x:v>
      </x:c>
      <x:c r="B30" s="1" t="n">
        <x:v>68</x:v>
      </x:c>
      <x:c r="C30" s="1" t="str">
        <x:v>ns3</x:v>
      </x:c>
      <x:c r="D30" s="1" t="str">
        <x:v>experiments/execution_68/experiment_3/config.json</x:v>
      </x:c>
      <x:c r="E30" s="1" t="str">
        <x:v>experiments/execution_68/experiment_3/results.json</x:v>
      </x:c>
      <x:c r="F30" s="1" t="str">
        <x:v>/home/dinos/ns-allinone-3.47/ns-3.47/experiments/execution_68/experiment_3</x:v>
      </x:c>
      <x:c r="G30" s="1" t="n">
        <x:v>100</x:v>
      </x:c>
      <x:c r="H30" s="1" t="n">
        <x:v>100.3605998</x:v>
      </x:c>
      <x:c r="I30" s="1" t="n">
        <x:v>10</x:v>
      </x:c>
      <x:c r="J30" s="1" t="n">
        <x:v>200</x:v>
      </x:c>
      <x:c r="K30" s="1" t="n">
        <x:v>100000000</x:v>
      </x:c>
      <x:c r="L30" s="1" t="n">
        <x:v>2</x:v>
      </x:c>
      <x:c r="M30" s="1" t="str">
        <x:v>DL|UL|UL|UL|</x:v>
      </x:c>
      <x:c r="N30" s="1" t="n">
        <x:v>1400</x:v>
      </x:c>
      <x:c r="O30" s="1" t="n">
        <x:v>1048576</x:v>
      </x:c>
      <x:c r="P30" s="1" t="n">
        <x:v>42</x:v>
      </x:c>
      <x:c r="Q30" s="1" t="n">
        <x:v>5</x:v>
      </x:c>
      <x:c r="R30" s="1" t="n">
        <x:v>203.9995104</x:v>
      </x:c>
      <x:c r="S30" s="1" t="n">
        <x:v>199.99952</x:v>
      </x:c>
      <x:c r="T30" s="1" t="n">
        <x:v>3.644096886</x:v>
      </x:c>
      <x:c r="U30" s="1" t="n">
        <x:v>0.09911271</x:v>
      </x:c>
      <x:c r="V30" s="1" t="n">
        <x:v>0</x:v>
      </x:c>
      <x:c r="W30" s="1" t="n">
        <x:v>178571</x:v>
      </x:c>
      <x:c r="X30" s="1" t="n">
        <x:v>178571</x:v>
      </x:c>
      <x:c r="Y30" s="1" t="n">
        <x:v>254999388</x:v>
      </x:c>
      <x:c r="Z30" s="1" t="n">
        <x:v>0</x:v>
      </x:c>
      <x:c r="AA30" s="1" t="n">
        <x:v>68</x:v>
      </x:c>
      <x:c r="AB30" s="1" t="n">
        <x:v>2</x:v>
      </x:c>
    </x:row>
    <x:row r="31" ht="21" customHeight="1">
      <x:c r="A31" s="1" t="str">
        <x:v>distance_150m_run_5</x:v>
      </x:c>
      <x:c r="B31" s="1" t="n">
        <x:v>68</x:v>
      </x:c>
      <x:c r="C31" s="1" t="str">
        <x:v>ns3</x:v>
      </x:c>
      <x:c r="D31" s="1" t="str">
        <x:v>experiments/execution_68/experiment_4/config.json</x:v>
      </x:c>
      <x:c r="E31" s="1" t="str">
        <x:v>experiments/execution_68/experiment_4/results.json</x:v>
      </x:c>
      <x:c r="F31" s="1" t="str">
        <x:v>/home/dinos/ns-allinone-3.47/ns-3.47/experiments/execution_68/experiment_4</x:v>
      </x:c>
      <x:c r="G31" s="1" t="n">
        <x:v>150</x:v>
      </x:c>
      <x:c r="H31" s="1" t="n">
        <x:v>150.2406403</x:v>
      </x:c>
      <x:c r="I31" s="1" t="n">
        <x:v>10</x:v>
      </x:c>
      <x:c r="J31" s="1" t="n">
        <x:v>200</x:v>
      </x:c>
      <x:c r="K31" s="1" t="n">
        <x:v>100000000</x:v>
      </x:c>
      <x:c r="L31" s="1" t="n">
        <x:v>2</x:v>
      </x:c>
      <x:c r="M31" s="1" t="str">
        <x:v>DL|UL|UL|UL|</x:v>
      </x:c>
      <x:c r="N31" s="1" t="n">
        <x:v>1400</x:v>
      </x:c>
      <x:c r="O31" s="1" t="n">
        <x:v>1048576</x:v>
      </x:c>
      <x:c r="P31" s="1" t="n">
        <x:v>42</x:v>
      </x:c>
      <x:c r="Q31" s="1" t="n">
        <x:v>5</x:v>
      </x:c>
      <x:c r="R31" s="1" t="n">
        <x:v>174.5849952</x:v>
      </x:c>
      <x:c r="S31" s="1" t="n">
        <x:v>171.16176</x:v>
      </x:c>
      <x:c r="T31" s="1" t="n">
        <x:v>110.7681109</x:v>
      </x:c>
      <x:c r="U31" s="1" t="n">
        <x:v>0.125537306</x:v>
      </x:c>
      <x:c r="V31" s="1" t="n">
        <x:v>0.144189146</x:v>
      </x:c>
      <x:c r="W31" s="1" t="n">
        <x:v>178571</x:v>
      </x:c>
      <x:c r="X31" s="1" t="n">
        <x:v>152823</x:v>
      </x:c>
      <x:c r="Y31" s="1" t="n">
        <x:v>218231244</x:v>
      </x:c>
      <x:c r="Z31" s="1" t="n">
        <x:v>25748</x:v>
      </x:c>
      <x:c r="AA31" s="1" t="n">
        <x:v>68</x:v>
      </x:c>
      <x:c r="AB31" s="1" t="n">
        <x:v>2</x:v>
      </x:c>
    </x:row>
    <x:row r="32" ht="21" customHeight="1">
      <x:c r="A32" s="1" t="str">
        <x:v>distance_200m_run_5</x:v>
      </x:c>
      <x:c r="B32" s="1" t="n">
        <x:v>68</x:v>
      </x:c>
      <x:c r="C32" s="1" t="str">
        <x:v>ns3</x:v>
      </x:c>
      <x:c r="D32" s="1" t="str">
        <x:v>experiments/execution_68/experiment_5/config.json</x:v>
      </x:c>
      <x:c r="E32" s="1" t="str">
        <x:v>experiments/execution_68/experiment_5/results.json</x:v>
      </x:c>
      <x:c r="F32" s="1" t="str">
        <x:v>/home/dinos/ns-allinone-3.47/ns-3.47/experiments/execution_68/experiment_5</x:v>
      </x:c>
      <x:c r="G32" s="1" t="n">
        <x:v>200</x:v>
      </x:c>
      <x:c r="H32" s="1" t="n">
        <x:v>200.1805435</x:v>
      </x:c>
      <x:c r="I32" s="1" t="n">
        <x:v>10</x:v>
      </x:c>
      <x:c r="J32" s="1" t="n">
        <x:v>200</x:v>
      </x:c>
      <x:c r="K32" s="1" t="n">
        <x:v>100000000</x:v>
      </x:c>
      <x:c r="L32" s="1" t="n">
        <x:v>2</x:v>
      </x:c>
      <x:c r="M32" s="1" t="str">
        <x:v>DL|UL|UL|UL|</x:v>
      </x:c>
      <x:c r="N32" s="1" t="n">
        <x:v>1400</x:v>
      </x:c>
      <x:c r="O32" s="1" t="n">
        <x:v>1048576</x:v>
      </x:c>
      <x:c r="P32" s="1" t="n">
        <x:v>42</x:v>
      </x:c>
      <x:c r="Q32" s="1" t="n">
        <x:v>5</x:v>
      </x:c>
      <x:c r="R32" s="1" t="n">
        <x:v>134.9277216</x:v>
      </x:c>
      <x:c r="S32" s="1" t="n">
        <x:v>132.28208</x:v>
      </x:c>
      <x:c r="T32" s="1" t="n">
        <x:v>63.98842479</x:v>
      </x:c>
      <x:c r="U32" s="1" t="n">
        <x:v>0.127874067</x:v>
      </x:c>
      <x:c r="V32" s="1" t="n">
        <x:v>0.338588013</x:v>
      </x:c>
      <x:c r="W32" s="1" t="n">
        <x:v>178571</x:v>
      </x:c>
      <x:c r="X32" s="1" t="n">
        <x:v>118109</x:v>
      </x:c>
      <x:c r="Y32" s="1" t="n">
        <x:v>168659652</x:v>
      </x:c>
      <x:c r="Z32" s="1" t="n">
        <x:v>60462</x:v>
      </x:c>
      <x:c r="AA32" s="1" t="n">
        <x:v>68</x:v>
      </x:c>
      <x:c r="AB32" s="1" t="n">
        <x:v>2</x:v>
      </x:c>
    </x:row>
    <x:row r="33" ht="21" customHeight="1">
      <x:c r="A33" s="1" t="str">
        <x:v>distance_300m_run_5</x:v>
      </x:c>
      <x:c r="B33" s="1" t="n">
        <x:v>68</x:v>
      </x:c>
      <x:c r="C33" s="1" t="str">
        <x:v>ns3</x:v>
      </x:c>
      <x:c r="D33" s="1" t="str">
        <x:v>experiments/execution_68/experiment_6/config.json</x:v>
      </x:c>
      <x:c r="E33" s="1" t="str">
        <x:v>experiments/execution_68/experiment_6/results.json</x:v>
      </x:c>
      <x:c r="F33" s="1" t="str">
        <x:v>/home/dinos/ns-allinone-3.47/ns-3.47/experiments/execution_68/experiment_6</x:v>
      </x:c>
      <x:c r="G33" s="1" t="n">
        <x:v>300</x:v>
      </x:c>
      <x:c r="H33" s="1" t="n">
        <x:v>300.1203925</x:v>
      </x:c>
      <x:c r="I33" s="1" t="n">
        <x:v>10</x:v>
      </x:c>
      <x:c r="J33" s="1" t="n">
        <x:v>200</x:v>
      </x:c>
      <x:c r="K33" s="1" t="n">
        <x:v>100000000</x:v>
      </x:c>
      <x:c r="L33" s="1" t="n">
        <x:v>2</x:v>
      </x:c>
      <x:c r="M33" s="1" t="str">
        <x:v>DL|UL|UL|UL|</x:v>
      </x:c>
      <x:c r="N33" s="1" t="n">
        <x:v>1400</x:v>
      </x:c>
      <x:c r="O33" s="1" t="n">
        <x:v>1048576</x:v>
      </x:c>
      <x:c r="P33" s="1" t="n">
        <x:v>42</x:v>
      </x:c>
      <x:c r="Q33" s="1" t="n">
        <x:v>5</x:v>
      </x:c>
      <x:c r="R33" s="1" t="n">
        <x:v>94.602144</x:v>
      </x:c>
      <x:c r="S33" s="1" t="n">
        <x:v>92.7472</x:v>
      </x:c>
      <x:c r="T33" s="1" t="n">
        <x:v>90.7704283</x:v>
      </x:c>
      <x:c r="U33" s="1" t="n">
        <x:v>0.215826719</x:v>
      </x:c>
      <x:c r="V33" s="1" t="n">
        <x:v>0.536262887</x:v>
      </x:c>
      <x:c r="W33" s="1" t="n">
        <x:v>178571</x:v>
      </x:c>
      <x:c r="X33" s="1" t="n">
        <x:v>82810</x:v>
      </x:c>
      <x:c r="Y33" s="1" t="n">
        <x:v>118252680</x:v>
      </x:c>
      <x:c r="Z33" s="1" t="n">
        <x:v>95761</x:v>
      </x:c>
      <x:c r="AA33" s="1" t="n">
        <x:v>68</x:v>
      </x:c>
      <x:c r="AB33" s="1" t="n">
        <x:v>2</x:v>
      </x:c>
    </x:row>
    <x:row r="34" ht="21" customHeight="1">
      <x:c r="A34" s="1" t="str">
        <x:v>distance_25m_run_1</x:v>
      </x:c>
      <x:c r="B34" s="1" t="n">
        <x:v>70</x:v>
      </x:c>
      <x:c r="C34" s="1" t="str">
        <x:v>ns3</x:v>
      </x:c>
      <x:c r="D34" s="1" t="str">
        <x:v>experiments/execution_70/experiment_1/config.json</x:v>
      </x:c>
      <x:c r="E34" s="1" t="str">
        <x:v>experiments/execution_70/experiment_1/results.json</x:v>
      </x:c>
      <x:c r="F34" s="1" t="str">
        <x:v>/home/dinos/ns-allinone-3.47/ns-3.47/experiments/execution_70/experiment_1</x:v>
      </x:c>
      <x:c r="G34" s="1" t="n">
        <x:v>25</x:v>
      </x:c>
      <x:c r="H34" s="1" t="n">
        <x:v>26.40549185</x:v>
      </x:c>
      <x:c r="I34" s="1" t="n">
        <x:v>10</x:v>
      </x:c>
      <x:c r="J34" s="1" t="n">
        <x:v>200</x:v>
      </x:c>
      <x:c r="K34" s="1" t="n">
        <x:v>100000000</x:v>
      </x:c>
      <x:c r="L34" s="1" t="n">
        <x:v>2</x:v>
      </x:c>
      <x:c r="M34" s="1" t="str">
        <x:v>DL|UL|UL|UL|</x:v>
      </x:c>
      <x:c r="N34" s="1" t="n">
        <x:v>1400</x:v>
      </x:c>
      <x:c r="O34" s="1" t="n">
        <x:v>1048576</x:v>
      </x:c>
      <x:c r="P34" s="1" t="n">
        <x:v>42</x:v>
      </x:c>
      <x:c r="Q34" s="1" t="n">
        <x:v>1</x:v>
      </x:c>
      <x:c r="R34" s="1" t="n">
        <x:v>203.9995104</x:v>
      </x:c>
      <x:c r="S34" s="1" t="n">
        <x:v>199.99952</x:v>
      </x:c>
      <x:c r="T34" s="1" t="n">
        <x:v>3.638612242</x:v>
      </x:c>
      <x:c r="U34" s="1" t="n">
        <x:v>0.100296678</x:v>
      </x:c>
      <x:c r="V34" s="1" t="n">
        <x:v>0</x:v>
      </x:c>
      <x:c r="W34" s="1" t="n">
        <x:v>178571</x:v>
      </x:c>
      <x:c r="X34" s="1" t="n">
        <x:v>178571</x:v>
      </x:c>
      <x:c r="Y34" s="1" t="n">
        <x:v>254999388</x:v>
      </x:c>
      <x:c r="Z34" s="1" t="n">
        <x:v>0</x:v>
      </x:c>
      <x:c r="AA34" s="1" t="n">
        <x:v>70</x:v>
      </x:c>
      <x:c r="AB34" s="1" t="n">
        <x:v>5</x:v>
      </x:c>
    </x:row>
    <x:row r="35" ht="21" customHeight="1">
      <x:c r="A35" s="1" t="str">
        <x:v>distance_50m_run_1</x:v>
      </x:c>
      <x:c r="B35" s="1" t="n">
        <x:v>70</x:v>
      </x:c>
      <x:c r="C35" s="1" t="str">
        <x:v>ns3</x:v>
      </x:c>
      <x:c r="D35" s="1" t="str">
        <x:v>experiments/execution_70/experiment_2/config.json</x:v>
      </x:c>
      <x:c r="E35" s="1" t="str">
        <x:v>experiments/execution_70/experiment_2/results.json</x:v>
      </x:c>
      <x:c r="F35" s="1" t="str">
        <x:v>/home/dinos/ns-allinone-3.47/ns-3.47/experiments/execution_70/experiment_2</x:v>
      </x:c>
      <x:c r="G35" s="1" t="n">
        <x:v>50</x:v>
      </x:c>
      <x:c r="H35" s="1" t="n">
        <x:v>50.71735403</x:v>
      </x:c>
      <x:c r="I35" s="1" t="n">
        <x:v>10</x:v>
      </x:c>
      <x:c r="J35" s="1" t="n">
        <x:v>200</x:v>
      </x:c>
      <x:c r="K35" s="1" t="n">
        <x:v>100000000</x:v>
      </x:c>
      <x:c r="L35" s="1" t="n">
        <x:v>2</x:v>
      </x:c>
      <x:c r="M35" s="1" t="str">
        <x:v>DL|UL|UL|UL|</x:v>
      </x:c>
      <x:c r="N35" s="1" t="n">
        <x:v>1400</x:v>
      </x:c>
      <x:c r="O35" s="1" t="n">
        <x:v>1048576</x:v>
      </x:c>
      <x:c r="P35" s="1" t="n">
        <x:v>42</x:v>
      </x:c>
      <x:c r="Q35" s="1" t="n">
        <x:v>1</x:v>
      </x:c>
      <x:c r="R35" s="1" t="n">
        <x:v>203.9995104</x:v>
      </x:c>
      <x:c r="S35" s="1" t="n">
        <x:v>199.99952</x:v>
      </x:c>
      <x:c r="T35" s="1" t="n">
        <x:v>3.637938599</x:v>
      </x:c>
      <x:c r="U35" s="1" t="n">
        <x:v>0.10026554</x:v>
      </x:c>
      <x:c r="V35" s="1" t="n">
        <x:v>0</x:v>
      </x:c>
      <x:c r="W35" s="1" t="n">
        <x:v>178571</x:v>
      </x:c>
      <x:c r="X35" s="1" t="n">
        <x:v>178571</x:v>
      </x:c>
      <x:c r="Y35" s="1" t="n">
        <x:v>254999388</x:v>
      </x:c>
      <x:c r="Z35" s="1" t="n">
        <x:v>0</x:v>
      </x:c>
      <x:c r="AA35" s="1" t="n">
        <x:v>70</x:v>
      </x:c>
      <x:c r="AB35" s="1" t="n">
        <x:v>5</x:v>
      </x:c>
    </x:row>
    <x:row r="36" ht="21" customHeight="1">
      <x:c r="A36" s="1" t="str">
        <x:v>distance_100m_run_1</x:v>
      </x:c>
      <x:c r="B36" s="1" t="n">
        <x:v>70</x:v>
      </x:c>
      <x:c r="C36" s="1" t="str">
        <x:v>ns3</x:v>
      </x:c>
      <x:c r="D36" s="1" t="str">
        <x:v>experiments/execution_70/experiment_3/config.json</x:v>
      </x:c>
      <x:c r="E36" s="1" t="str">
        <x:v>experiments/execution_70/experiment_3/results.json</x:v>
      </x:c>
      <x:c r="F36" s="1" t="str">
        <x:v>/home/dinos/ns-allinone-3.47/ns-3.47/experiments/execution_70/experiment_3</x:v>
      </x:c>
      <x:c r="G36" s="1" t="n">
        <x:v>100</x:v>
      </x:c>
      <x:c r="H36" s="1" t="n">
        <x:v>100.3605998</x:v>
      </x:c>
      <x:c r="I36" s="1" t="n">
        <x:v>10</x:v>
      </x:c>
      <x:c r="J36" s="1" t="n">
        <x:v>200</x:v>
      </x:c>
      <x:c r="K36" s="1" t="n">
        <x:v>100000000</x:v>
      </x:c>
      <x:c r="L36" s="1" t="n">
        <x:v>2</x:v>
      </x:c>
      <x:c r="M36" s="1" t="str">
        <x:v>DL|UL|UL|UL|</x:v>
      </x:c>
      <x:c r="N36" s="1" t="n">
        <x:v>1400</x:v>
      </x:c>
      <x:c r="O36" s="1" t="n">
        <x:v>1048576</x:v>
      </x:c>
      <x:c r="P36" s="1" t="n">
        <x:v>42</x:v>
      </x:c>
      <x:c r="Q36" s="1" t="n">
        <x:v>1</x:v>
      </x:c>
      <x:c r="R36" s="1" t="n">
        <x:v>203.9995104</x:v>
      </x:c>
      <x:c r="S36" s="1" t="n">
        <x:v>199.99952</x:v>
      </x:c>
      <x:c r="T36" s="1" t="n">
        <x:v>3.653616326</x:v>
      </x:c>
      <x:c r="U36" s="1" t="n">
        <x:v>0.099031597</x:v>
      </x:c>
      <x:c r="V36" s="1" t="n">
        <x:v>0</x:v>
      </x:c>
      <x:c r="W36" s="1" t="n">
        <x:v>178571</x:v>
      </x:c>
      <x:c r="X36" s="1" t="n">
        <x:v>178571</x:v>
      </x:c>
      <x:c r="Y36" s="1" t="n">
        <x:v>254999388</x:v>
      </x:c>
      <x:c r="Z36" s="1" t="n">
        <x:v>0</x:v>
      </x:c>
      <x:c r="AA36" s="1" t="n">
        <x:v>70</x:v>
      </x:c>
      <x:c r="AB36" s="1" t="n">
        <x:v>5</x:v>
      </x:c>
    </x:row>
    <x:row r="37" ht="21" customHeight="1">
      <x:c r="A37" s="1" t="str">
        <x:v>distance_150m_run_1</x:v>
      </x:c>
      <x:c r="B37" s="1" t="n">
        <x:v>70</x:v>
      </x:c>
      <x:c r="C37" s="1" t="str">
        <x:v>ns3</x:v>
      </x:c>
      <x:c r="D37" s="1" t="str">
        <x:v>experiments/execution_70/experiment_4/config.json</x:v>
      </x:c>
      <x:c r="E37" s="1" t="str">
        <x:v>experiments/execution_70/experiment_4/results.json</x:v>
      </x:c>
      <x:c r="F37" s="1" t="str">
        <x:v>/home/dinos/ns-allinone-3.47/ns-3.47/experiments/execution_70/experiment_4</x:v>
      </x:c>
      <x:c r="G37" s="1" t="n">
        <x:v>150</x:v>
      </x:c>
      <x:c r="H37" s="1" t="n">
        <x:v>150.2406403</x:v>
      </x:c>
      <x:c r="I37" s="1" t="n">
        <x:v>10</x:v>
      </x:c>
      <x:c r="J37" s="1" t="n">
        <x:v>200</x:v>
      </x:c>
      <x:c r="K37" s="1" t="n">
        <x:v>100000000</x:v>
      </x:c>
      <x:c r="L37" s="1" t="n">
        <x:v>2</x:v>
      </x:c>
      <x:c r="M37" s="1" t="str">
        <x:v>DL|UL|UL|UL|</x:v>
      </x:c>
      <x:c r="N37" s="1" t="n">
        <x:v>1400</x:v>
      </x:c>
      <x:c r="O37" s="1" t="n">
        <x:v>1048576</x:v>
      </x:c>
      <x:c r="P37" s="1" t="n">
        <x:v>42</x:v>
      </x:c>
      <x:c r="Q37" s="1" t="n">
        <x:v>1</x:v>
      </x:c>
      <x:c r="R37" s="1" t="n">
        <x:v>175.1116416</x:v>
      </x:c>
      <x:c r="S37" s="1" t="n">
        <x:v>171.67808</x:v>
      </x:c>
      <x:c r="T37" s="1" t="n">
        <x:v>102.5910495</x:v>
      </x:c>
      <x:c r="U37" s="1" t="n">
        <x:v>0.124214456</x:v>
      </x:c>
      <x:c r="V37" s="1" t="n">
        <x:v>0.14160754</x:v>
      </x:c>
      <x:c r="W37" s="1" t="n">
        <x:v>178571</x:v>
      </x:c>
      <x:c r="X37" s="1" t="n">
        <x:v>153284</x:v>
      </x:c>
      <x:c r="Y37" s="1" t="n">
        <x:v>218889552</x:v>
      </x:c>
      <x:c r="Z37" s="1" t="n">
        <x:v>25287</x:v>
      </x:c>
      <x:c r="AA37" s="1" t="n">
        <x:v>70</x:v>
      </x:c>
      <x:c r="AB37" s="1" t="n">
        <x:v>5</x:v>
      </x:c>
    </x:row>
    <x:row r="38" ht="21" customHeight="1">
      <x:c r="A38" s="1" t="str">
        <x:v>distance_200m_run_1</x:v>
      </x:c>
      <x:c r="B38" s="1" t="n">
        <x:v>70</x:v>
      </x:c>
      <x:c r="C38" s="1" t="str">
        <x:v>ns3</x:v>
      </x:c>
      <x:c r="D38" s="1" t="str">
        <x:v>experiments/execution_70/experiment_5/config.json</x:v>
      </x:c>
      <x:c r="E38" s="1" t="str">
        <x:v>experiments/execution_70/experiment_5/results.json</x:v>
      </x:c>
      <x:c r="F38" s="1" t="str">
        <x:v>/home/dinos/ns-allinone-3.47/ns-3.47/experiments/execution_70/experiment_5</x:v>
      </x:c>
      <x:c r="G38" s="1" t="n">
        <x:v>200</x:v>
      </x:c>
      <x:c r="H38" s="1" t="n">
        <x:v>200.1805435</x:v>
      </x:c>
      <x:c r="I38" s="1" t="n">
        <x:v>10</x:v>
      </x:c>
      <x:c r="J38" s="1" t="n">
        <x:v>200</x:v>
      </x:c>
      <x:c r="K38" s="1" t="n">
        <x:v>100000000</x:v>
      </x:c>
      <x:c r="L38" s="1" t="n">
        <x:v>2</x:v>
      </x:c>
      <x:c r="M38" s="1" t="str">
        <x:v>DL|UL|UL|UL|</x:v>
      </x:c>
      <x:c r="N38" s="1" t="n">
        <x:v>1400</x:v>
      </x:c>
      <x:c r="O38" s="1" t="n">
        <x:v>1048576</x:v>
      </x:c>
      <x:c r="P38" s="1" t="n">
        <x:v>42</x:v>
      </x:c>
      <x:c r="Q38" s="1" t="n">
        <x:v>1</x:v>
      </x:c>
      <x:c r="R38" s="1" t="n">
        <x:v>134.9277216</x:v>
      </x:c>
      <x:c r="S38" s="1" t="n">
        <x:v>132.28208</x:v>
      </x:c>
      <x:c r="T38" s="1" t="n">
        <x:v>63.99039767</x:v>
      </x:c>
      <x:c r="U38" s="1" t="n">
        <x:v>0.127920602</x:v>
      </x:c>
      <x:c r="V38" s="1" t="n">
        <x:v>0.338588013</x:v>
      </x:c>
      <x:c r="W38" s="1" t="n">
        <x:v>178571</x:v>
      </x:c>
      <x:c r="X38" s="1" t="n">
        <x:v>118109</x:v>
      </x:c>
      <x:c r="Y38" s="1" t="n">
        <x:v>168659652</x:v>
      </x:c>
      <x:c r="Z38" s="1" t="n">
        <x:v>60462</x:v>
      </x:c>
      <x:c r="AA38" s="1" t="n">
        <x:v>70</x:v>
      </x:c>
      <x:c r="AB38" s="1" t="n">
        <x:v>5</x:v>
      </x:c>
    </x:row>
    <x:row r="39" ht="21" customHeight="1">
      <x:c r="A39" s="1" t="str">
        <x:v>distance_300m_run_1</x:v>
      </x:c>
      <x:c r="B39" s="1" t="n">
        <x:v>70</x:v>
      </x:c>
      <x:c r="C39" s="1" t="str">
        <x:v>ns3</x:v>
      </x:c>
      <x:c r="D39" s="1" t="str">
        <x:v>experiments/execution_70/experiment_6/config.json</x:v>
      </x:c>
      <x:c r="E39" s="1" t="str">
        <x:v>experiments/execution_70/experiment_6/results.json</x:v>
      </x:c>
      <x:c r="F39" s="1" t="str">
        <x:v>/home/dinos/ns-allinone-3.47/ns-3.47/experiments/execution_70/experiment_6</x:v>
      </x:c>
      <x:c r="G39" s="1" t="n">
        <x:v>300</x:v>
      </x:c>
      <x:c r="H39" s="1" t="n">
        <x:v>300.1203925</x:v>
      </x:c>
      <x:c r="I39" s="1" t="n">
        <x:v>10</x:v>
      </x:c>
      <x:c r="J39" s="1" t="n">
        <x:v>200</x:v>
      </x:c>
      <x:c r="K39" s="1" t="n">
        <x:v>100000000</x:v>
      </x:c>
      <x:c r="L39" s="1" t="n">
        <x:v>2</x:v>
      </x:c>
      <x:c r="M39" s="1" t="str">
        <x:v>DL|UL|UL|UL|</x:v>
      </x:c>
      <x:c r="N39" s="1" t="n">
        <x:v>1400</x:v>
      </x:c>
      <x:c r="O39" s="1" t="n">
        <x:v>1048576</x:v>
      </x:c>
      <x:c r="P39" s="1" t="n">
        <x:v>42</x:v>
      </x:c>
      <x:c r="Q39" s="1" t="n">
        <x:v>1</x:v>
      </x:c>
      <x:c r="R39" s="1" t="n">
        <x:v>94.602144</x:v>
      </x:c>
      <x:c r="S39" s="1" t="n">
        <x:v>92.7472</x:v>
      </x:c>
      <x:c r="T39" s="1" t="n">
        <x:v>90.77181564</x:v>
      </x:c>
      <x:c r="U39" s="1" t="n">
        <x:v>0.215930952</x:v>
      </x:c>
      <x:c r="V39" s="1" t="n">
        <x:v>0.536262887</x:v>
      </x:c>
      <x:c r="W39" s="1" t="n">
        <x:v>178571</x:v>
      </x:c>
      <x:c r="X39" s="1" t="n">
        <x:v>82810</x:v>
      </x:c>
      <x:c r="Y39" s="1" t="n">
        <x:v>118252680</x:v>
      </x:c>
      <x:c r="Z39" s="1" t="n">
        <x:v>95761</x:v>
      </x:c>
      <x:c r="AA39" s="1" t="n">
        <x:v>70</x:v>
      </x:c>
      <x:c r="AB39" s="1" t="n">
        <x:v>5</x:v>
      </x:c>
    </x:row>
    <x:row r="40" ht="21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  <x:c r="AA40" s="1"/>
      <x:c r="AB40" s="1"/>
    </x:row>
    <x:row r="41" ht="21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  <x:c r="AA41" s="1"/>
      <x:c r="AB41" s="1"/>
    </x:row>
    <x:row r="42" ht="21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  <x:c r="AA42" s="1"/>
      <x:c r="AB42" s="1"/>
    </x:row>
    <x:row r="43" ht="21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  <x:c r="AA43" s="1"/>
      <x:c r="AB43" s="1"/>
    </x:row>
    <x:row r="44" ht="21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  <x:c r="AA44" s="1"/>
      <x:c r="AB44" s="1"/>
    </x:row>
    <x:row r="45" ht="21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  <x:c r="AA45" s="1"/>
      <x:c r="AB45" s="1"/>
    </x:row>
    <x:row r="46" ht="21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  <x:c r="AA46" s="1"/>
      <x:c r="AB46" s="1"/>
    </x:row>
    <x:row r="47" ht="21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  <x:c r="AA47" s="1"/>
      <x:c r="AB47" s="1"/>
    </x:row>
    <x:row r="48" ht="21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  <x:c r="AA48" s="1"/>
      <x:c r="AB48" s="1"/>
    </x:row>
    <x:row r="49" ht="21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  <x:c r="AA49" s="1"/>
      <x:c r="AB49" s="1"/>
    </x:row>
    <x:row r="50" ht="21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  <x:c r="AA50" s="1"/>
      <x:c r="AB50" s="1"/>
    </x:row>
    <x:row r="51" ht="21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  <x:c r="AA51" s="1"/>
      <x:c r="AB51" s="1"/>
    </x:row>
    <x:row r="52" ht="21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  <x:c r="AA52" s="1"/>
      <x:c r="AB52" s="1"/>
    </x:row>
    <x:row r="53" ht="21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  <x:c r="AA53" s="1"/>
      <x:c r="AB53" s="1"/>
    </x:row>
    <x:row r="54" ht="21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  <x:c r="AA54" s="1"/>
      <x:c r="AB54" s="1"/>
    </x:row>
    <x:row r="55" ht="21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  <x:c r="AA55" s="1"/>
      <x:c r="AB55" s="1"/>
    </x:row>
    <x:row r="56" ht="21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  <x:c r="AA56" s="1"/>
      <x:c r="AB56" s="1"/>
    </x:row>
    <x:row r="57" ht="21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  <x:c r="AA57" s="1"/>
      <x:c r="AB57" s="1"/>
    </x:row>
    <x:row r="58" ht="21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  <x:c r="AA58" s="1"/>
      <x:c r="AB58" s="1"/>
    </x:row>
    <x:row r="59" ht="21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  <x:c r="AA59" s="1"/>
      <x:c r="AB59" s="1"/>
    </x:row>
    <x:row r="60" ht="21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  <x:c r="AA60" s="1"/>
      <x:c r="AB60" s="1"/>
    </x:row>
    <x:row r="61" ht="21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  <x:c r="AA61" s="1"/>
      <x:c r="AB61" s="1"/>
    </x:row>
    <x:row r="62" ht="21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  <x:c r="AA62" s="1"/>
      <x:c r="AB62" s="1"/>
    </x:row>
    <x:row r="63" ht="21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  <x:c r="AA63" s="1"/>
      <x:c r="AB63" s="1"/>
    </x:row>
    <x:row r="64" ht="21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  <x:c r="AA64" s="1"/>
      <x:c r="AB64" s="1"/>
    </x:row>
    <x:row r="65" ht="21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  <x:c r="AA65" s="1"/>
      <x:c r="AB65" s="1"/>
    </x:row>
    <x:row r="66" ht="21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  <x:c r="AA66" s="1"/>
      <x:c r="AB66" s="1"/>
    </x:row>
    <x:row r="67" ht="21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  <x:c r="AA67" s="1"/>
      <x:c r="AB67" s="1"/>
    </x:row>
    <x:row r="68" ht="21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  <x:c r="AA68" s="1"/>
      <x:c r="AB68" s="1"/>
    </x:row>
    <x:row r="69" ht="21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  <x:c r="AA69" s="1"/>
      <x:c r="AB69" s="1"/>
    </x:row>
    <x:row r="70" ht="21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  <x:c r="AA70" s="1"/>
      <x:c r="AB70" s="1"/>
    </x:row>
    <x:row r="71" ht="21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  <x:c r="AA71" s="1"/>
      <x:c r="AB71" s="1"/>
    </x:row>
    <x:row r="72" ht="21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  <x:c r="AA72" s="1"/>
      <x:c r="AB72" s="1"/>
    </x:row>
    <x:row r="73" ht="21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  <x:c r="AA73" s="1"/>
      <x:c r="AB73" s="1"/>
    </x:row>
    <x:row r="74" ht="21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  <x:c r="AA74" s="1"/>
      <x:c r="AB74" s="1"/>
    </x:row>
    <x:row r="75" ht="21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  <x:c r="AA75" s="1"/>
      <x:c r="AB75" s="1"/>
    </x:row>
  </x:sheetData>
  <x:pageMargins left="0.7" right="0.7" top="0.75" bottom="0.75" header="0.3" footer="0.3"/>
</x:worksheet>
</file>